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eng/Desktop/publication/机器学习生物炭/"/>
    </mc:Choice>
  </mc:AlternateContent>
  <xr:revisionPtr revIDLastSave="0" documentId="13_ncr:1_{9AAB9F76-6A03-DD4F-90CA-859314954823}" xr6:coauthVersionLast="47" xr6:coauthVersionMax="47" xr10:uidLastSave="{00000000-0000-0000-0000-000000000000}"/>
  <bookViews>
    <workbookView xWindow="30880" yWindow="500" windowWidth="34740" windowHeight="21100" xr2:uid="{7817F80C-653D-9A45-8CC4-63110D2435BF}"/>
  </bookViews>
  <sheets>
    <sheet name="Sheet1" sheetId="1" r:id="rId1"/>
  </sheets>
  <definedNames>
    <definedName name="_xlnm._FilterDatabase" localSheetId="0" hidden="1">Sheet1!$A$5:$AE$5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37" i="1" l="1"/>
  <c r="AD236" i="1"/>
  <c r="AD235" i="1"/>
  <c r="AD234" i="1"/>
  <c r="AD233" i="1"/>
  <c r="AD232" i="1"/>
  <c r="AD231" i="1"/>
  <c r="AD230" i="1"/>
  <c r="Q237" i="1"/>
  <c r="P237" i="1"/>
  <c r="O237" i="1"/>
  <c r="N237" i="1"/>
  <c r="M237" i="1"/>
  <c r="Q236" i="1"/>
  <c r="P236" i="1"/>
  <c r="O236" i="1"/>
  <c r="N236" i="1"/>
  <c r="M236" i="1"/>
  <c r="Q235" i="1"/>
  <c r="P235" i="1"/>
  <c r="O235" i="1"/>
  <c r="N235" i="1"/>
  <c r="M235" i="1"/>
  <c r="Q234" i="1"/>
  <c r="P234" i="1"/>
  <c r="O234" i="1"/>
  <c r="N234" i="1"/>
  <c r="M234" i="1"/>
  <c r="Q233" i="1"/>
  <c r="P233" i="1"/>
  <c r="O233" i="1"/>
  <c r="N233" i="1"/>
  <c r="M233" i="1"/>
  <c r="Q232" i="1"/>
  <c r="P232" i="1"/>
  <c r="O232" i="1"/>
  <c r="N232" i="1"/>
  <c r="M232" i="1"/>
  <c r="Q231" i="1"/>
  <c r="P231" i="1"/>
  <c r="O231" i="1"/>
  <c r="N231" i="1"/>
  <c r="M231" i="1"/>
  <c r="P230" i="1"/>
  <c r="Q230" i="1"/>
  <c r="N230" i="1"/>
  <c r="O230" i="1"/>
  <c r="M230" i="1"/>
  <c r="Q229" i="1"/>
  <c r="P229" i="1"/>
  <c r="O229" i="1"/>
  <c r="N229" i="1"/>
  <c r="M229" i="1"/>
  <c r="Q228" i="1"/>
  <c r="P228" i="1"/>
  <c r="O228" i="1"/>
  <c r="N228" i="1"/>
  <c r="M228" i="1"/>
  <c r="Q227" i="1"/>
  <c r="P227" i="1"/>
  <c r="O227" i="1"/>
  <c r="N227" i="1"/>
  <c r="M227" i="1"/>
  <c r="Q226" i="1"/>
  <c r="P226" i="1"/>
  <c r="O226" i="1"/>
  <c r="N226" i="1"/>
  <c r="M226" i="1"/>
  <c r="Q225" i="1"/>
  <c r="P225" i="1"/>
  <c r="O225" i="1"/>
  <c r="N225" i="1"/>
  <c r="M225" i="1"/>
  <c r="Q224" i="1"/>
  <c r="P224" i="1"/>
  <c r="O224" i="1"/>
  <c r="N224" i="1"/>
  <c r="M224" i="1"/>
  <c r="Q223" i="1"/>
  <c r="P223" i="1"/>
  <c r="O223" i="1"/>
  <c r="N223" i="1"/>
  <c r="M223" i="1"/>
  <c r="AD229" i="1"/>
  <c r="AD228" i="1"/>
  <c r="AD227" i="1"/>
  <c r="AD226" i="1"/>
  <c r="AD225" i="1"/>
  <c r="AD224" i="1"/>
  <c r="AD223" i="1"/>
  <c r="AD222" i="1"/>
  <c r="P222" i="1"/>
  <c r="Q222" i="1"/>
  <c r="N222" i="1"/>
  <c r="O222" i="1"/>
  <c r="M222" i="1"/>
  <c r="Q221" i="1"/>
  <c r="P221" i="1"/>
  <c r="O221" i="1"/>
  <c r="N221" i="1"/>
  <c r="M221" i="1"/>
  <c r="Q220" i="1"/>
  <c r="P220" i="1"/>
  <c r="O220" i="1"/>
  <c r="N220" i="1"/>
  <c r="M220" i="1"/>
  <c r="Q219" i="1"/>
  <c r="P219" i="1"/>
  <c r="O219" i="1"/>
  <c r="N219" i="1"/>
  <c r="M219" i="1"/>
  <c r="Q218" i="1"/>
  <c r="P218" i="1"/>
  <c r="O218" i="1"/>
  <c r="N218" i="1"/>
  <c r="M218" i="1"/>
  <c r="Q217" i="1"/>
  <c r="P217" i="1"/>
  <c r="O217" i="1"/>
  <c r="N217" i="1"/>
  <c r="M217" i="1"/>
  <c r="Q216" i="1"/>
  <c r="P216" i="1"/>
  <c r="O216" i="1"/>
  <c r="N216" i="1"/>
  <c r="M216" i="1"/>
  <c r="Q215" i="1"/>
  <c r="P215" i="1"/>
  <c r="O215" i="1"/>
  <c r="N215" i="1"/>
  <c r="M215" i="1"/>
  <c r="AD215" i="1"/>
  <c r="Q214" i="1"/>
  <c r="P214" i="1"/>
  <c r="N214" i="1"/>
  <c r="O214" i="1"/>
  <c r="M214" i="1"/>
  <c r="AD221" i="1"/>
  <c r="AD220" i="1"/>
  <c r="AD219" i="1"/>
  <c r="AD218" i="1"/>
  <c r="AD217" i="1"/>
  <c r="AD216" i="1"/>
  <c r="AD214" i="1"/>
  <c r="P213" i="1" l="1"/>
  <c r="O213" i="1"/>
  <c r="N213" i="1"/>
  <c r="M213" i="1"/>
  <c r="M212" i="1"/>
  <c r="O212" i="1"/>
  <c r="N212" i="1"/>
  <c r="P212" i="1"/>
  <c r="P7" i="1" l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6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" i="1"/>
  <c r="M22" i="1"/>
  <c r="M23" i="1"/>
  <c r="M24" i="1"/>
  <c r="M25" i="1"/>
  <c r="M26" i="1"/>
  <c r="M27" i="1"/>
  <c r="M28" i="1"/>
  <c r="M29" i="1"/>
  <c r="M30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6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189" i="1"/>
  <c r="Q161" i="1"/>
  <c r="Q162" i="1"/>
  <c r="Q163" i="1"/>
  <c r="Q164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31" i="1"/>
  <c r="Q108" i="1"/>
  <c r="Q109" i="1"/>
  <c r="Q112" i="1"/>
  <c r="Q104" i="1"/>
  <c r="Q106" i="1"/>
  <c r="Q107" i="1"/>
  <c r="Q102" i="1"/>
  <c r="Q57" i="1"/>
  <c r="Q58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32" i="1"/>
  <c r="Q14" i="1"/>
  <c r="Q15" i="1"/>
  <c r="Q17" i="1"/>
  <c r="Q18" i="1"/>
  <c r="Q19" i="1"/>
  <c r="Q20" i="1"/>
  <c r="Q22" i="1"/>
  <c r="Q23" i="1"/>
  <c r="Q24" i="1"/>
  <c r="Q25" i="1"/>
  <c r="Q26" i="1"/>
  <c r="Q13" i="1"/>
  <c r="Q12" i="1"/>
  <c r="J114" i="1"/>
  <c r="O114" i="1" s="1"/>
  <c r="J115" i="1"/>
  <c r="O115" i="1" s="1"/>
  <c r="J116" i="1"/>
  <c r="O116" i="1" s="1"/>
  <c r="J117" i="1"/>
  <c r="M117" i="1" s="1"/>
  <c r="J113" i="1"/>
  <c r="O113" i="1" s="1"/>
  <c r="J169" i="1"/>
  <c r="O169" i="1" s="1"/>
  <c r="J170" i="1"/>
  <c r="O170" i="1" s="1"/>
  <c r="J171" i="1"/>
  <c r="O171" i="1" s="1"/>
  <c r="J172" i="1"/>
  <c r="O172" i="1" s="1"/>
  <c r="J173" i="1"/>
  <c r="M173" i="1" s="1"/>
  <c r="J174" i="1"/>
  <c r="M174" i="1" s="1"/>
  <c r="J175" i="1"/>
  <c r="M175" i="1" s="1"/>
  <c r="J176" i="1"/>
  <c r="M176" i="1" s="1"/>
  <c r="J177" i="1"/>
  <c r="O177" i="1" s="1"/>
  <c r="J178" i="1"/>
  <c r="O178" i="1" s="1"/>
  <c r="J179" i="1"/>
  <c r="O179" i="1" s="1"/>
  <c r="J180" i="1"/>
  <c r="M180" i="1" s="1"/>
  <c r="J181" i="1"/>
  <c r="M181" i="1" s="1"/>
  <c r="J182" i="1"/>
  <c r="M182" i="1" s="1"/>
  <c r="J183" i="1"/>
  <c r="M183" i="1" s="1"/>
  <c r="J184" i="1"/>
  <c r="M184" i="1" s="1"/>
  <c r="J185" i="1"/>
  <c r="O185" i="1" s="1"/>
  <c r="J186" i="1"/>
  <c r="O186" i="1" s="1"/>
  <c r="J187" i="1"/>
  <c r="O187" i="1" s="1"/>
  <c r="J188" i="1"/>
  <c r="O188" i="1" s="1"/>
  <c r="J168" i="1"/>
  <c r="O168" i="1" s="1"/>
  <c r="M168" i="1" l="1"/>
  <c r="O180" i="1"/>
  <c r="O174" i="1"/>
  <c r="O182" i="1"/>
  <c r="M188" i="1"/>
  <c r="M172" i="1"/>
  <c r="M171" i="1"/>
  <c r="O181" i="1"/>
  <c r="M187" i="1"/>
  <c r="O173" i="1"/>
  <c r="M115" i="1"/>
  <c r="M179" i="1"/>
  <c r="M114" i="1"/>
  <c r="M116" i="1"/>
  <c r="O184" i="1"/>
  <c r="O176" i="1"/>
  <c r="O183" i="1"/>
  <c r="O175" i="1"/>
  <c r="M186" i="1"/>
  <c r="M178" i="1"/>
  <c r="M185" i="1"/>
  <c r="M177" i="1"/>
  <c r="M169" i="1"/>
  <c r="M113" i="1"/>
  <c r="O117" i="1"/>
  <c r="M170" i="1"/>
</calcChain>
</file>

<file path=xl/sharedStrings.xml><?xml version="1.0" encoding="utf-8"?>
<sst xmlns="http://schemas.openxmlformats.org/spreadsheetml/2006/main" count="963" uniqueCount="122">
  <si>
    <t>N</t>
    <phoneticPr fontId="1" type="noConversion"/>
  </si>
  <si>
    <t>PFOA</t>
    <phoneticPr fontId="1" type="noConversion"/>
  </si>
  <si>
    <t xml:space="preserve">PFOS </t>
    <phoneticPr fontId="1" type="noConversion"/>
  </si>
  <si>
    <t>Y</t>
    <phoneticPr fontId="1" type="noConversion"/>
  </si>
  <si>
    <t>N</t>
    <phoneticPr fontId="1" type="noConversion"/>
  </si>
  <si>
    <t>N</t>
    <phoneticPr fontId="1" type="noConversion"/>
  </si>
  <si>
    <t>Y</t>
    <phoneticPr fontId="1" type="noConversion"/>
  </si>
  <si>
    <t>PFOA</t>
    <phoneticPr fontId="1" type="noConversion"/>
  </si>
  <si>
    <t>N</t>
    <phoneticPr fontId="1" type="noConversion"/>
  </si>
  <si>
    <t>PFHxS</t>
    <phoneticPr fontId="1" type="noConversion"/>
  </si>
  <si>
    <t>Y</t>
    <phoneticPr fontId="1" type="noConversion"/>
  </si>
  <si>
    <t>Y</t>
    <phoneticPr fontId="1" type="noConversion"/>
  </si>
  <si>
    <t>N</t>
    <phoneticPr fontId="1" type="noConversion"/>
  </si>
  <si>
    <t>PFBS</t>
    <phoneticPr fontId="1" type="noConversion"/>
  </si>
  <si>
    <t>PFHxA</t>
    <phoneticPr fontId="1" type="noConversion"/>
  </si>
  <si>
    <t>PFHxS</t>
    <phoneticPr fontId="1" type="noConversion"/>
  </si>
  <si>
    <t>PFOA</t>
    <phoneticPr fontId="1" type="noConversion"/>
  </si>
  <si>
    <t>PFNA</t>
    <phoneticPr fontId="1" type="noConversion"/>
  </si>
  <si>
    <t>PFDoA</t>
    <phoneticPr fontId="1" type="noConversion"/>
  </si>
  <si>
    <t>PFOA</t>
    <phoneticPr fontId="1" type="noConversion"/>
  </si>
  <si>
    <t>PFBA</t>
    <phoneticPr fontId="1" type="noConversion"/>
  </si>
  <si>
    <t>Y</t>
    <phoneticPr fontId="1" type="noConversion"/>
  </si>
  <si>
    <t>PFPeA</t>
    <phoneticPr fontId="1" type="noConversion"/>
  </si>
  <si>
    <t>N</t>
    <phoneticPr fontId="1" type="noConversion"/>
  </si>
  <si>
    <t>PFOA</t>
    <phoneticPr fontId="1" type="noConversion"/>
  </si>
  <si>
    <t>Y</t>
    <phoneticPr fontId="1" type="noConversion"/>
  </si>
  <si>
    <t>N</t>
    <phoneticPr fontId="1" type="noConversion"/>
  </si>
  <si>
    <t>PFBS</t>
    <phoneticPr fontId="1" type="noConversion"/>
  </si>
  <si>
    <t>PFOA</t>
    <phoneticPr fontId="1" type="noConversion"/>
  </si>
  <si>
    <t>Y</t>
    <phoneticPr fontId="1" type="noConversion"/>
  </si>
  <si>
    <t>PFOA</t>
    <phoneticPr fontId="1" type="noConversion"/>
  </si>
  <si>
    <t>N</t>
    <phoneticPr fontId="1" type="noConversion"/>
  </si>
  <si>
    <t>Y</t>
    <phoneticPr fontId="1" type="noConversion"/>
  </si>
  <si>
    <t>PFBA</t>
    <phoneticPr fontId="1" type="noConversion"/>
  </si>
  <si>
    <t>PFBS</t>
    <phoneticPr fontId="1" type="noConversion"/>
  </si>
  <si>
    <t>PFHxA</t>
    <phoneticPr fontId="1" type="noConversion"/>
  </si>
  <si>
    <t>Y</t>
    <phoneticPr fontId="1" type="noConversion"/>
  </si>
  <si>
    <t>PFBA</t>
    <phoneticPr fontId="1" type="noConversion"/>
  </si>
  <si>
    <t>PFBS</t>
    <phoneticPr fontId="1" type="noConversion"/>
  </si>
  <si>
    <t>PFOA</t>
    <phoneticPr fontId="1" type="noConversion"/>
  </si>
  <si>
    <t>PFOA</t>
    <phoneticPr fontId="1" type="noConversion"/>
  </si>
  <si>
    <t>Y</t>
    <phoneticPr fontId="1" type="noConversion"/>
  </si>
  <si>
    <t>PFOA</t>
    <phoneticPr fontId="1" type="noConversion"/>
  </si>
  <si>
    <t>PFBA</t>
    <phoneticPr fontId="1" type="noConversion"/>
  </si>
  <si>
    <t>PFOA</t>
    <phoneticPr fontId="1" type="noConversion"/>
  </si>
  <si>
    <t>Y</t>
    <phoneticPr fontId="1" type="noConversion"/>
  </si>
  <si>
    <t>N</t>
    <phoneticPr fontId="1" type="noConversion"/>
  </si>
  <si>
    <t>PFOA</t>
    <phoneticPr fontId="1" type="noConversion"/>
  </si>
  <si>
    <t>N</t>
    <phoneticPr fontId="1" type="noConversion"/>
  </si>
  <si>
    <t>PFHpA</t>
    <phoneticPr fontId="1" type="noConversion"/>
  </si>
  <si>
    <t>PFDA</t>
    <phoneticPr fontId="1" type="noConversion"/>
  </si>
  <si>
    <t>N</t>
    <phoneticPr fontId="1" type="noConversion"/>
  </si>
  <si>
    <t>Biosolid</t>
    <phoneticPr fontId="1" type="noConversion"/>
  </si>
  <si>
    <t>Garden and tree  wastes</t>
    <phoneticPr fontId="1" type="noConversion"/>
  </si>
  <si>
    <t>O/C</t>
    <phoneticPr fontId="1" type="noConversion"/>
  </si>
  <si>
    <t>H/C</t>
    <phoneticPr fontId="1" type="noConversion"/>
  </si>
  <si>
    <t>N/C</t>
    <phoneticPr fontId="1" type="noConversion"/>
  </si>
  <si>
    <t>(O+N)/C</t>
    <phoneticPr fontId="1" type="noConversion"/>
  </si>
  <si>
    <t>Head group</t>
    <phoneticPr fontId="1" type="noConversion"/>
  </si>
  <si>
    <t>COOH</t>
    <phoneticPr fontId="1" type="noConversion"/>
  </si>
  <si>
    <t>SOOOH</t>
    <phoneticPr fontId="1" type="noConversion"/>
  </si>
  <si>
    <t>Coffee ground</t>
    <phoneticPr fontId="1" type="noConversion"/>
  </si>
  <si>
    <t>Adsorption capacity</t>
    <phoneticPr fontId="1" type="noConversion"/>
  </si>
  <si>
    <t>Temperature</t>
    <phoneticPr fontId="1" type="noConversion"/>
  </si>
  <si>
    <t>Pyrolysis time</t>
    <phoneticPr fontId="1" type="noConversion"/>
  </si>
  <si>
    <t>Activation/modification</t>
    <phoneticPr fontId="1" type="noConversion"/>
  </si>
  <si>
    <t>Surface area</t>
    <phoneticPr fontId="1" type="noConversion"/>
  </si>
  <si>
    <t>Feedstock</t>
    <phoneticPr fontId="1" type="noConversion"/>
  </si>
  <si>
    <t>Pore volume</t>
    <phoneticPr fontId="1" type="noConversion"/>
  </si>
  <si>
    <t>Average pore size</t>
    <phoneticPr fontId="1" type="noConversion"/>
  </si>
  <si>
    <t>C</t>
    <phoneticPr fontId="1" type="noConversion"/>
  </si>
  <si>
    <t>O</t>
    <phoneticPr fontId="1" type="noConversion"/>
  </si>
  <si>
    <t>H</t>
    <phoneticPr fontId="1" type="noConversion"/>
  </si>
  <si>
    <t>Ash</t>
    <phoneticPr fontId="1" type="noConversion"/>
  </si>
  <si>
    <t>Fe</t>
    <phoneticPr fontId="1" type="noConversion"/>
  </si>
  <si>
    <t>Adsorption time</t>
    <phoneticPr fontId="1" type="noConversion"/>
  </si>
  <si>
    <t>Initial PFAS concentration</t>
    <phoneticPr fontId="1" type="noConversion"/>
  </si>
  <si>
    <t xml:space="preserve">BC concentration </t>
    <phoneticPr fontId="1" type="noConversion"/>
  </si>
  <si>
    <t>Solution pH</t>
    <phoneticPr fontId="1" type="noConversion"/>
  </si>
  <si>
    <t>Adsorption temperature</t>
    <phoneticPr fontId="1" type="noConversion"/>
  </si>
  <si>
    <t>PFAS type</t>
    <phoneticPr fontId="1" type="noConversion"/>
  </si>
  <si>
    <t xml:space="preserve">Molar mass </t>
    <phoneticPr fontId="1" type="noConversion"/>
  </si>
  <si>
    <t>Chain length</t>
    <phoneticPr fontId="1" type="noConversion"/>
  </si>
  <si>
    <t>RPM</t>
    <phoneticPr fontId="1" type="noConversion"/>
  </si>
  <si>
    <t>Data for PFAS adsorption by biochar</t>
    <phoneticPr fontId="1" type="noConversion"/>
  </si>
  <si>
    <t>Biochar production conditions</t>
    <phoneticPr fontId="1" type="noConversion"/>
  </si>
  <si>
    <t>Biochar properties</t>
    <phoneticPr fontId="1" type="noConversion"/>
  </si>
  <si>
    <t>Adsorption conditions</t>
    <phoneticPr fontId="1" type="noConversion"/>
  </si>
  <si>
    <t>PFAS properties</t>
    <phoneticPr fontId="1" type="noConversion"/>
  </si>
  <si>
    <t>Mandarin peel</t>
    <phoneticPr fontId="1" type="noConversion"/>
  </si>
  <si>
    <t>Corn cob </t>
    <phoneticPr fontId="1" type="noConversion"/>
  </si>
  <si>
    <t>Douglas fir </t>
  </si>
  <si>
    <t>Eucalyptus </t>
    <phoneticPr fontId="1" type="noConversion"/>
  </si>
  <si>
    <t>Poplar </t>
    <phoneticPr fontId="1" type="noConversion"/>
  </si>
  <si>
    <t>Switchgrass </t>
    <phoneticPr fontId="1" type="noConversion"/>
  </si>
  <si>
    <t>Coffee ground</t>
  </si>
  <si>
    <t>Douglas fir</t>
    <phoneticPr fontId="1" type="noConversion"/>
  </si>
  <si>
    <t>Wood chips</t>
    <phoneticPr fontId="1" type="noConversion"/>
  </si>
  <si>
    <t>Sewage sludge</t>
    <phoneticPr fontId="1" type="noConversion"/>
  </si>
  <si>
    <t>Sludge and foof wastes</t>
    <phoneticPr fontId="1" type="noConversion"/>
  </si>
  <si>
    <t>Coconut shell</t>
    <phoneticPr fontId="1" type="noConversion"/>
  </si>
  <si>
    <t>Tree barks</t>
    <phoneticPr fontId="1" type="noConversion"/>
  </si>
  <si>
    <t>Eucalyptus</t>
    <phoneticPr fontId="1" type="noConversion"/>
  </si>
  <si>
    <t>Sugarcane bagasse</t>
    <phoneticPr fontId="1" type="noConversion"/>
  </si>
  <si>
    <t>Water hyacinth</t>
    <phoneticPr fontId="1" type="noConversion"/>
  </si>
  <si>
    <t>Castor meal</t>
    <phoneticPr fontId="1" type="noConversion"/>
  </si>
  <si>
    <t>Coconut pericarp</t>
    <phoneticPr fontId="1" type="noConversion"/>
  </si>
  <si>
    <t>Peanut husk</t>
    <phoneticPr fontId="1" type="noConversion"/>
  </si>
  <si>
    <t>Bamboo</t>
    <phoneticPr fontId="1" type="noConversion"/>
  </si>
  <si>
    <t>Switchgrass</t>
    <phoneticPr fontId="1" type="noConversion"/>
  </si>
  <si>
    <t>Water oak leaves</t>
    <phoneticPr fontId="1" type="noConversion"/>
  </si>
  <si>
    <t>Cow  manure</t>
    <phoneticPr fontId="1" type="noConversion"/>
  </si>
  <si>
    <t>Bone meal</t>
    <phoneticPr fontId="1" type="noConversion"/>
  </si>
  <si>
    <t>Pine wood</t>
    <phoneticPr fontId="1" type="noConversion"/>
  </si>
  <si>
    <t>Sawdust</t>
    <phoneticPr fontId="1" type="noConversion"/>
  </si>
  <si>
    <t>Melaleuca bark</t>
    <phoneticPr fontId="1" type="noConversion"/>
  </si>
  <si>
    <t>Maize straw</t>
    <phoneticPr fontId="1" type="noConversion"/>
  </si>
  <si>
    <t>Camelina meal</t>
    <phoneticPr fontId="1" type="noConversion"/>
  </si>
  <si>
    <t>Chestnut cupules</t>
    <phoneticPr fontId="1" type="noConversion"/>
  </si>
  <si>
    <t xml:space="preserve"> PFOS </t>
    <phoneticPr fontId="1" type="noConversion"/>
  </si>
  <si>
    <t>Pinecone</t>
    <phoneticPr fontId="1" type="noConversion"/>
  </si>
  <si>
    <t>F/C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</si>
</sst>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Times New Roman"/>
      <family val="1"/>
    </font>
    <font>
      <b/>
      <sz val="12"/>
      <color theme="1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5A56F-E826-4A47-8C55-EFAC98B056EB}">
  <dimension ref="A1:AE237"/>
  <sheetViews>
    <sheetView tabSelected="1" topLeftCell="T1" workbookViewId="0">
      <pane ySplit="5" topLeftCell="A29" activePane="bottomLeft" state="frozen"/>
      <selection pane="bottomLeft" activeCell="AG32" sqref="AG32"/>
    </sheetView>
  </sheetViews>
  <sheetFormatPr baseColWidth="10" defaultColWidth="10.83203125" defaultRowHeight="16"/>
  <cols>
    <col min="1" max="1" width="10.1640625" customWidth="1"/>
    <col min="2" max="2" width="30.83203125" style="2" customWidth="1"/>
    <col min="3" max="3" width="19.5" customWidth="1"/>
    <col min="4" max="4" width="16" customWidth="1"/>
    <col min="5" max="5" width="25.83203125" customWidth="1"/>
    <col min="6" max="6" width="20.5" customWidth="1"/>
    <col min="7" max="7" width="24.33203125" customWidth="1"/>
    <col min="8" max="8" width="18" customWidth="1"/>
    <col min="9" max="12" width="10.83203125" customWidth="1"/>
    <col min="13" max="13" width="9.33203125" customWidth="1"/>
    <col min="14" max="16" width="10.83203125" customWidth="1"/>
    <col min="17" max="17" width="12.83203125" customWidth="1"/>
    <col min="18" max="18" width="15.1640625" customWidth="1"/>
    <col min="19" max="19" width="18.5" customWidth="1"/>
    <col min="20" max="20" width="24.1640625" customWidth="1"/>
    <col min="21" max="21" width="11.6640625" customWidth="1"/>
    <col min="22" max="22" width="20" customWidth="1"/>
    <col min="23" max="23" width="13.83203125" customWidth="1"/>
    <col min="24" max="24" width="26.6640625" customWidth="1"/>
    <col min="25" max="25" width="19.1640625" customWidth="1"/>
    <col min="26" max="26" width="20.33203125" customWidth="1"/>
    <col min="27" max="27" width="24.83203125" style="1" customWidth="1"/>
    <col min="28" max="29" width="19.1640625" customWidth="1"/>
    <col min="30" max="30" width="27.33203125" customWidth="1"/>
    <col min="31" max="31" width="17.1640625" customWidth="1"/>
  </cols>
  <sheetData>
    <row r="1" spans="1:31">
      <c r="B1" s="8" t="s">
        <v>84</v>
      </c>
      <c r="C1" s="8"/>
      <c r="D1" s="8"/>
      <c r="E1" s="8"/>
      <c r="F1" s="8"/>
      <c r="G1" s="8"/>
      <c r="H1" s="8"/>
      <c r="I1" s="8"/>
    </row>
    <row r="3" spans="1:31" ht="17" thickBot="1"/>
    <row r="4" spans="1:31" ht="17" thickBot="1">
      <c r="A4" s="5"/>
      <c r="B4" s="7" t="s">
        <v>85</v>
      </c>
      <c r="C4" s="7"/>
      <c r="D4" s="7"/>
      <c r="E4" s="7"/>
      <c r="F4" s="7" t="s">
        <v>86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 t="s">
        <v>87</v>
      </c>
      <c r="T4" s="7"/>
      <c r="U4" s="7"/>
      <c r="V4" s="7"/>
      <c r="W4" s="7"/>
      <c r="X4" s="7"/>
      <c r="Y4" s="7" t="s">
        <v>88</v>
      </c>
      <c r="Z4" s="7"/>
      <c r="AA4" s="7"/>
      <c r="AB4" s="7"/>
      <c r="AC4" s="7"/>
      <c r="AD4" s="5" t="s">
        <v>62</v>
      </c>
    </row>
    <row r="5" spans="1:31" ht="17" thickBot="1">
      <c r="A5" s="5"/>
      <c r="B5" s="3" t="s">
        <v>67</v>
      </c>
      <c r="C5" s="3" t="s">
        <v>63</v>
      </c>
      <c r="D5" s="5" t="s">
        <v>64</v>
      </c>
      <c r="E5" s="5" t="s">
        <v>65</v>
      </c>
      <c r="F5" s="5" t="s">
        <v>66</v>
      </c>
      <c r="G5" s="5" t="s">
        <v>68</v>
      </c>
      <c r="H5" s="5" t="s">
        <v>69</v>
      </c>
      <c r="I5" s="5" t="s">
        <v>70</v>
      </c>
      <c r="J5" s="5" t="s">
        <v>71</v>
      </c>
      <c r="K5" s="5" t="s">
        <v>0</v>
      </c>
      <c r="L5" s="5" t="s">
        <v>72</v>
      </c>
      <c r="M5" s="5" t="s">
        <v>54</v>
      </c>
      <c r="N5" s="5" t="s">
        <v>56</v>
      </c>
      <c r="O5" s="5" t="s">
        <v>57</v>
      </c>
      <c r="P5" s="5" t="s">
        <v>55</v>
      </c>
      <c r="Q5" s="5" t="s">
        <v>73</v>
      </c>
      <c r="R5" s="5" t="s">
        <v>74</v>
      </c>
      <c r="S5" s="5" t="s">
        <v>75</v>
      </c>
      <c r="T5" s="5" t="s">
        <v>76</v>
      </c>
      <c r="U5" s="5" t="s">
        <v>78</v>
      </c>
      <c r="V5" s="5" t="s">
        <v>77</v>
      </c>
      <c r="W5" s="5" t="s">
        <v>83</v>
      </c>
      <c r="X5" s="5" t="s">
        <v>79</v>
      </c>
      <c r="Y5" s="5" t="s">
        <v>80</v>
      </c>
      <c r="Z5" s="5" t="s">
        <v>81</v>
      </c>
      <c r="AA5" s="6" t="s">
        <v>121</v>
      </c>
      <c r="AB5" s="5" t="s">
        <v>82</v>
      </c>
      <c r="AC5" s="5" t="s">
        <v>58</v>
      </c>
      <c r="AD5" s="5" t="s">
        <v>62</v>
      </c>
    </row>
    <row r="6" spans="1:31" s="1" customFormat="1">
      <c r="A6" s="1">
        <v>1</v>
      </c>
      <c r="B6" s="2" t="s">
        <v>89</v>
      </c>
      <c r="C6" s="1">
        <v>600</v>
      </c>
      <c r="D6" s="1">
        <v>2</v>
      </c>
      <c r="E6" s="1" t="s">
        <v>0</v>
      </c>
      <c r="F6" s="1">
        <v>2.7879999999999998</v>
      </c>
      <c r="G6" s="1">
        <v>4.0000000000000001E-3</v>
      </c>
      <c r="H6" s="1">
        <v>6.1859999999999999</v>
      </c>
      <c r="I6" s="1">
        <v>81.02</v>
      </c>
      <c r="J6" s="1">
        <v>10.81</v>
      </c>
      <c r="K6" s="1">
        <v>1.77</v>
      </c>
      <c r="L6" s="1">
        <v>1.42</v>
      </c>
      <c r="M6" s="1">
        <f>(J6/16)/(I6/12)</f>
        <v>0.10006788447296965</v>
      </c>
      <c r="N6" s="1">
        <f>(K6/14)/(I6/12)</f>
        <v>1.872553514123497E-2</v>
      </c>
      <c r="O6" s="1">
        <f>(J6/16+K6/14)/(I6/12)</f>
        <v>0.11879341961420463</v>
      </c>
      <c r="P6" s="1">
        <f>(L6/1)/(I6/12)</f>
        <v>0.21031843989138485</v>
      </c>
      <c r="Q6" s="1">
        <v>4.9800000000000004</v>
      </c>
      <c r="R6" s="1">
        <v>0</v>
      </c>
      <c r="S6" s="1">
        <v>24</v>
      </c>
      <c r="T6" s="1">
        <v>1</v>
      </c>
      <c r="U6" s="1">
        <v>7</v>
      </c>
      <c r="V6" s="1">
        <v>200</v>
      </c>
      <c r="W6" s="1">
        <v>150</v>
      </c>
      <c r="X6" s="1">
        <v>25</v>
      </c>
      <c r="Y6" s="1" t="s">
        <v>1</v>
      </c>
      <c r="Z6" s="1">
        <v>414.08</v>
      </c>
      <c r="AA6" s="1">
        <v>1.875</v>
      </c>
      <c r="AB6" s="1">
        <v>8</v>
      </c>
      <c r="AC6" s="1" t="s">
        <v>59</v>
      </c>
      <c r="AD6" s="1">
        <v>5.39</v>
      </c>
    </row>
    <row r="7" spans="1:31" s="1" customFormat="1">
      <c r="A7" s="1">
        <v>2</v>
      </c>
      <c r="B7" s="2" t="s">
        <v>89</v>
      </c>
      <c r="C7" s="1">
        <v>600</v>
      </c>
      <c r="D7" s="1">
        <v>2</v>
      </c>
      <c r="E7" s="1" t="s">
        <v>0</v>
      </c>
      <c r="F7" s="1">
        <v>2.7879999999999998</v>
      </c>
      <c r="G7" s="1">
        <v>4.0000000000000001E-3</v>
      </c>
      <c r="H7" s="1">
        <v>6.1859999999999999</v>
      </c>
      <c r="I7" s="1">
        <v>81.02</v>
      </c>
      <c r="J7" s="1">
        <v>10.81</v>
      </c>
      <c r="K7" s="1">
        <v>1.77</v>
      </c>
      <c r="L7" s="1">
        <v>1.42</v>
      </c>
      <c r="M7" s="1">
        <f t="shared" ref="M7:M70" si="0">(J7/16)/(I7/12)</f>
        <v>0.10006788447296965</v>
      </c>
      <c r="N7" s="1">
        <f t="shared" ref="N7:N70" si="1">(K7/14)/(I7/12)</f>
        <v>1.872553514123497E-2</v>
      </c>
      <c r="O7" s="1">
        <f t="shared" ref="O7:O70" si="2">(J7/16+K7/14)/(I7/12)</f>
        <v>0.11879341961420463</v>
      </c>
      <c r="P7" s="1">
        <f t="shared" ref="P7:P70" si="3">(L7/1)/(I7/12)</f>
        <v>0.21031843989138485</v>
      </c>
      <c r="Q7" s="1">
        <v>4.9800000000000004</v>
      </c>
      <c r="R7" s="1">
        <v>0</v>
      </c>
      <c r="S7" s="1">
        <v>24</v>
      </c>
      <c r="T7" s="1">
        <v>1</v>
      </c>
      <c r="U7" s="1">
        <v>7</v>
      </c>
      <c r="V7" s="1">
        <v>200</v>
      </c>
      <c r="W7" s="1">
        <v>150</v>
      </c>
      <c r="X7" s="1">
        <v>25</v>
      </c>
      <c r="Y7" s="1" t="s">
        <v>2</v>
      </c>
      <c r="Z7" s="1">
        <v>500.13</v>
      </c>
      <c r="AA7" s="1">
        <v>1.875</v>
      </c>
      <c r="AB7" s="1">
        <v>8</v>
      </c>
      <c r="AC7" s="1" t="s">
        <v>60</v>
      </c>
      <c r="AD7" s="1">
        <v>4.54</v>
      </c>
    </row>
    <row r="8" spans="1:31" s="1" customFormat="1">
      <c r="A8" s="1">
        <v>3</v>
      </c>
      <c r="B8" s="2" t="s">
        <v>89</v>
      </c>
      <c r="C8" s="1">
        <v>600</v>
      </c>
      <c r="D8" s="1">
        <v>2</v>
      </c>
      <c r="E8" s="1" t="s">
        <v>3</v>
      </c>
      <c r="F8" s="1">
        <v>294.63200000000001</v>
      </c>
      <c r="G8" s="1">
        <v>0.33700000000000002</v>
      </c>
      <c r="H8" s="1">
        <v>9.734</v>
      </c>
      <c r="I8" s="1">
        <v>63.75</v>
      </c>
      <c r="J8" s="1">
        <v>13.03</v>
      </c>
      <c r="K8" s="1">
        <v>1.77</v>
      </c>
      <c r="L8" s="1">
        <v>1.34</v>
      </c>
      <c r="M8" s="1">
        <f t="shared" si="0"/>
        <v>0.1532941176470588</v>
      </c>
      <c r="N8" s="1">
        <f t="shared" si="1"/>
        <v>2.3798319327731091E-2</v>
      </c>
      <c r="O8" s="1">
        <f t="shared" si="2"/>
        <v>0.17709243697478991</v>
      </c>
      <c r="P8" s="1">
        <f t="shared" si="3"/>
        <v>0.25223529411764706</v>
      </c>
      <c r="Q8" s="1">
        <v>20.69</v>
      </c>
      <c r="R8" s="1">
        <v>0</v>
      </c>
      <c r="S8" s="1">
        <v>24</v>
      </c>
      <c r="T8" s="1">
        <v>1</v>
      </c>
      <c r="U8" s="1">
        <v>7</v>
      </c>
      <c r="V8" s="1">
        <v>200</v>
      </c>
      <c r="W8" s="1">
        <v>150</v>
      </c>
      <c r="X8" s="1">
        <v>25</v>
      </c>
      <c r="Y8" s="1" t="s">
        <v>1</v>
      </c>
      <c r="Z8" s="1">
        <v>414.08</v>
      </c>
      <c r="AA8" s="1">
        <v>1.875</v>
      </c>
      <c r="AB8" s="1">
        <v>8</v>
      </c>
      <c r="AC8" s="1" t="s">
        <v>59</v>
      </c>
      <c r="AD8" s="1">
        <v>23.18</v>
      </c>
    </row>
    <row r="9" spans="1:31" s="1" customFormat="1">
      <c r="A9" s="1">
        <v>4</v>
      </c>
      <c r="B9" s="2" t="s">
        <v>89</v>
      </c>
      <c r="C9" s="1">
        <v>600</v>
      </c>
      <c r="D9" s="1">
        <v>2</v>
      </c>
      <c r="E9" s="1" t="s">
        <v>3</v>
      </c>
      <c r="F9" s="1">
        <v>294.63200000000001</v>
      </c>
      <c r="G9" s="1">
        <v>0.33700000000000002</v>
      </c>
      <c r="H9" s="1">
        <v>9.734</v>
      </c>
      <c r="I9" s="1">
        <v>63.75</v>
      </c>
      <c r="J9" s="1">
        <v>13.03</v>
      </c>
      <c r="K9" s="1">
        <v>1.77</v>
      </c>
      <c r="L9" s="1">
        <v>1.34</v>
      </c>
      <c r="M9" s="1">
        <f t="shared" si="0"/>
        <v>0.1532941176470588</v>
      </c>
      <c r="N9" s="1">
        <f t="shared" si="1"/>
        <v>2.3798319327731091E-2</v>
      </c>
      <c r="O9" s="1">
        <f t="shared" si="2"/>
        <v>0.17709243697478991</v>
      </c>
      <c r="P9" s="1">
        <f t="shared" si="3"/>
        <v>0.25223529411764706</v>
      </c>
      <c r="Q9" s="1">
        <v>20.69</v>
      </c>
      <c r="R9" s="1">
        <v>0</v>
      </c>
      <c r="S9" s="1">
        <v>24</v>
      </c>
      <c r="T9" s="1">
        <v>1</v>
      </c>
      <c r="U9" s="1">
        <v>7</v>
      </c>
      <c r="V9" s="1">
        <v>200</v>
      </c>
      <c r="W9" s="1">
        <v>150</v>
      </c>
      <c r="X9" s="1">
        <v>25</v>
      </c>
      <c r="Y9" s="1" t="s">
        <v>2</v>
      </c>
      <c r="Z9" s="1">
        <v>500.13</v>
      </c>
      <c r="AA9" s="1">
        <v>1.875</v>
      </c>
      <c r="AB9" s="1">
        <v>8</v>
      </c>
      <c r="AC9" s="1" t="s">
        <v>60</v>
      </c>
      <c r="AD9" s="1">
        <v>24.9</v>
      </c>
    </row>
    <row r="10" spans="1:31" s="1" customFormat="1">
      <c r="A10" s="1">
        <v>5</v>
      </c>
      <c r="B10" s="2" t="s">
        <v>89</v>
      </c>
      <c r="C10" s="1">
        <v>600</v>
      </c>
      <c r="D10" s="1">
        <v>2</v>
      </c>
      <c r="E10" s="1" t="s">
        <v>3</v>
      </c>
      <c r="F10" s="1">
        <v>446.036</v>
      </c>
      <c r="G10" s="1">
        <v>0.156</v>
      </c>
      <c r="H10" s="1">
        <v>4.218</v>
      </c>
      <c r="I10" s="1">
        <v>53</v>
      </c>
      <c r="J10" s="1">
        <v>15.66</v>
      </c>
      <c r="K10" s="1">
        <v>0.82</v>
      </c>
      <c r="L10" s="1">
        <v>1.22</v>
      </c>
      <c r="M10" s="1">
        <f t="shared" si="0"/>
        <v>0.22160377358490566</v>
      </c>
      <c r="N10" s="1">
        <f t="shared" si="1"/>
        <v>1.3261455525606466E-2</v>
      </c>
      <c r="O10" s="1">
        <f t="shared" si="2"/>
        <v>0.23486522911051211</v>
      </c>
      <c r="P10" s="1">
        <f t="shared" si="3"/>
        <v>0.27622641509433959</v>
      </c>
      <c r="Q10" s="1">
        <v>29.36</v>
      </c>
      <c r="R10" s="1">
        <v>0</v>
      </c>
      <c r="S10" s="1">
        <v>24</v>
      </c>
      <c r="T10" s="1">
        <v>1</v>
      </c>
      <c r="U10" s="1">
        <v>7</v>
      </c>
      <c r="V10" s="1">
        <v>200</v>
      </c>
      <c r="W10" s="1">
        <v>150</v>
      </c>
      <c r="X10" s="1">
        <v>25</v>
      </c>
      <c r="Y10" s="1" t="s">
        <v>1</v>
      </c>
      <c r="Z10" s="1">
        <v>414.08</v>
      </c>
      <c r="AA10" s="1">
        <v>1.875</v>
      </c>
      <c r="AB10" s="1">
        <v>8</v>
      </c>
      <c r="AC10" s="1" t="s">
        <v>59</v>
      </c>
      <c r="AD10" s="1">
        <v>36.79</v>
      </c>
    </row>
    <row r="11" spans="1:31" s="1" customFormat="1">
      <c r="A11" s="1">
        <v>6</v>
      </c>
      <c r="B11" s="2" t="s">
        <v>89</v>
      </c>
      <c r="C11" s="1">
        <v>600</v>
      </c>
      <c r="D11" s="1">
        <v>2</v>
      </c>
      <c r="E11" s="1" t="s">
        <v>3</v>
      </c>
      <c r="F11" s="1">
        <v>446.036</v>
      </c>
      <c r="G11" s="1">
        <v>0.156</v>
      </c>
      <c r="H11" s="1">
        <v>4.218</v>
      </c>
      <c r="I11" s="1">
        <v>53</v>
      </c>
      <c r="J11" s="1">
        <v>15.66</v>
      </c>
      <c r="K11" s="1">
        <v>0.82</v>
      </c>
      <c r="L11" s="1">
        <v>1.22</v>
      </c>
      <c r="M11" s="1">
        <f t="shared" si="0"/>
        <v>0.22160377358490566</v>
      </c>
      <c r="N11" s="1">
        <f t="shared" si="1"/>
        <v>1.3261455525606466E-2</v>
      </c>
      <c r="O11" s="1">
        <f t="shared" si="2"/>
        <v>0.23486522911051211</v>
      </c>
      <c r="P11" s="1">
        <f t="shared" si="3"/>
        <v>0.27622641509433959</v>
      </c>
      <c r="Q11" s="1">
        <v>29.36</v>
      </c>
      <c r="R11" s="1">
        <v>0</v>
      </c>
      <c r="S11" s="1">
        <v>24</v>
      </c>
      <c r="T11" s="1">
        <v>1</v>
      </c>
      <c r="U11" s="1">
        <v>7</v>
      </c>
      <c r="V11" s="1">
        <v>200</v>
      </c>
      <c r="W11" s="1">
        <v>150</v>
      </c>
      <c r="X11" s="1">
        <v>25</v>
      </c>
      <c r="Y11" s="1" t="s">
        <v>2</v>
      </c>
      <c r="Z11" s="1">
        <v>500.13</v>
      </c>
      <c r="AA11" s="1">
        <v>1.875</v>
      </c>
      <c r="AB11" s="1">
        <v>8</v>
      </c>
      <c r="AC11" s="1" t="s">
        <v>60</v>
      </c>
      <c r="AD11" s="1">
        <v>35.75</v>
      </c>
    </row>
    <row r="12" spans="1:31">
      <c r="A12" s="1">
        <v>7</v>
      </c>
      <c r="B12" s="2" t="s">
        <v>90</v>
      </c>
      <c r="C12" s="1">
        <v>500</v>
      </c>
      <c r="D12" s="1">
        <v>0.5</v>
      </c>
      <c r="E12" s="1" t="s">
        <v>4</v>
      </c>
      <c r="F12" s="1">
        <v>56.7</v>
      </c>
      <c r="G12" s="1">
        <v>0.11700000000000001</v>
      </c>
      <c r="H12" s="1">
        <v>9.8000000000000007</v>
      </c>
      <c r="I12" s="1">
        <v>83.2</v>
      </c>
      <c r="J12" s="1">
        <v>12.76</v>
      </c>
      <c r="K12" s="1">
        <v>1</v>
      </c>
      <c r="L12" s="1">
        <v>3.02</v>
      </c>
      <c r="M12" s="1">
        <f t="shared" si="0"/>
        <v>0.11502403846153846</v>
      </c>
      <c r="N12" s="1">
        <f t="shared" si="1"/>
        <v>1.0302197802197802E-2</v>
      </c>
      <c r="O12" s="1">
        <f t="shared" si="2"/>
        <v>0.12532623626373626</v>
      </c>
      <c r="P12" s="1">
        <f t="shared" si="3"/>
        <v>0.43557692307692308</v>
      </c>
      <c r="Q12">
        <f>100-I12-J12-K12-L12</f>
        <v>1.9999999999997353E-2</v>
      </c>
      <c r="R12" s="1">
        <v>0</v>
      </c>
      <c r="S12" s="1">
        <v>48</v>
      </c>
      <c r="T12" s="1">
        <v>0.5</v>
      </c>
      <c r="U12" s="1">
        <v>7</v>
      </c>
      <c r="V12" s="1">
        <v>100</v>
      </c>
      <c r="W12" s="1">
        <v>9500</v>
      </c>
      <c r="X12" s="1">
        <v>25</v>
      </c>
      <c r="Y12" s="1" t="s">
        <v>2</v>
      </c>
      <c r="Z12" s="1">
        <v>500.13</v>
      </c>
      <c r="AA12" s="1">
        <v>1.875</v>
      </c>
      <c r="AB12" s="1">
        <v>8</v>
      </c>
      <c r="AC12" s="1" t="s">
        <v>60</v>
      </c>
      <c r="AD12" s="1">
        <v>0.14000000000000001</v>
      </c>
      <c r="AE12" s="1"/>
    </row>
    <row r="13" spans="1:31">
      <c r="A13" s="1">
        <v>8</v>
      </c>
      <c r="B13" s="2" t="s">
        <v>90</v>
      </c>
      <c r="C13" s="1">
        <v>700</v>
      </c>
      <c r="D13" s="1">
        <v>0.5</v>
      </c>
      <c r="E13" s="1" t="s">
        <v>4</v>
      </c>
      <c r="F13" s="1">
        <v>112</v>
      </c>
      <c r="G13" s="1">
        <v>0.11899999999999999</v>
      </c>
      <c r="H13" s="1">
        <v>4</v>
      </c>
      <c r="I13" s="1">
        <v>86.7</v>
      </c>
      <c r="J13" s="1">
        <v>10.6</v>
      </c>
      <c r="K13" s="1">
        <v>0.81</v>
      </c>
      <c r="L13" s="1">
        <v>1.83</v>
      </c>
      <c r="M13" s="1">
        <f t="shared" si="0"/>
        <v>9.1695501730103796E-2</v>
      </c>
      <c r="N13" s="1">
        <f t="shared" si="1"/>
        <v>8.0079090459713297E-3</v>
      </c>
      <c r="O13" s="1">
        <f t="shared" si="2"/>
        <v>9.9703410776075127E-2</v>
      </c>
      <c r="P13" s="1">
        <f t="shared" si="3"/>
        <v>0.2532871972318339</v>
      </c>
      <c r="Q13">
        <f>100-I13-J13-K13-L13</f>
        <v>5.9999999999997389E-2</v>
      </c>
      <c r="R13" s="1">
        <v>0</v>
      </c>
      <c r="S13" s="1">
        <v>48</v>
      </c>
      <c r="T13" s="1">
        <v>0.5</v>
      </c>
      <c r="U13" s="1">
        <v>7</v>
      </c>
      <c r="V13" s="1">
        <v>100</v>
      </c>
      <c r="W13" s="1">
        <v>9500</v>
      </c>
      <c r="X13" s="1">
        <v>25</v>
      </c>
      <c r="Y13" s="1" t="s">
        <v>2</v>
      </c>
      <c r="Z13" s="1">
        <v>500.13</v>
      </c>
      <c r="AA13" s="1">
        <v>1.875</v>
      </c>
      <c r="AB13" s="1">
        <v>8</v>
      </c>
      <c r="AC13" s="1" t="s">
        <v>60</v>
      </c>
      <c r="AD13" s="1">
        <v>0.16</v>
      </c>
      <c r="AE13" s="1"/>
    </row>
    <row r="14" spans="1:31">
      <c r="A14" s="1">
        <v>9</v>
      </c>
      <c r="B14" s="2" t="s">
        <v>90</v>
      </c>
      <c r="C14" s="1">
        <v>900</v>
      </c>
      <c r="D14" s="1">
        <v>0.5</v>
      </c>
      <c r="E14" s="1" t="s">
        <v>4</v>
      </c>
      <c r="F14" s="1">
        <v>33.6</v>
      </c>
      <c r="G14" s="1">
        <v>7.0000000000000007E-2</v>
      </c>
      <c r="H14" s="1">
        <v>33.5</v>
      </c>
      <c r="I14" s="1">
        <v>86</v>
      </c>
      <c r="J14" s="1">
        <v>11.87</v>
      </c>
      <c r="K14" s="1">
        <v>0.72</v>
      </c>
      <c r="L14" s="1">
        <v>1.36</v>
      </c>
      <c r="M14" s="1">
        <f t="shared" si="0"/>
        <v>0.1035174418604651</v>
      </c>
      <c r="N14" s="1">
        <f t="shared" si="1"/>
        <v>7.1760797342192689E-3</v>
      </c>
      <c r="O14" s="1">
        <f t="shared" si="2"/>
        <v>0.11069352159468436</v>
      </c>
      <c r="P14" s="1">
        <f t="shared" si="3"/>
        <v>0.18976744186046512</v>
      </c>
      <c r="Q14">
        <f>100-I14-J14-K14-L14</f>
        <v>5.0000000000000711E-2</v>
      </c>
      <c r="R14" s="1">
        <v>0</v>
      </c>
      <c r="S14" s="1">
        <v>48</v>
      </c>
      <c r="T14" s="1">
        <v>0.5</v>
      </c>
      <c r="U14" s="1">
        <v>7</v>
      </c>
      <c r="V14" s="1">
        <v>100</v>
      </c>
      <c r="W14" s="1">
        <v>9500</v>
      </c>
      <c r="X14" s="1">
        <v>25</v>
      </c>
      <c r="Y14" s="1" t="s">
        <v>2</v>
      </c>
      <c r="Z14" s="1">
        <v>500.13</v>
      </c>
      <c r="AA14" s="1">
        <v>1.875</v>
      </c>
      <c r="AB14" s="1">
        <v>8</v>
      </c>
      <c r="AC14" s="1" t="s">
        <v>60</v>
      </c>
      <c r="AD14" s="1">
        <v>0.08</v>
      </c>
      <c r="AE14" s="1"/>
    </row>
    <row r="15" spans="1:31">
      <c r="A15" s="1">
        <v>10</v>
      </c>
      <c r="B15" s="2" t="s">
        <v>91</v>
      </c>
      <c r="C15" s="1">
        <v>500</v>
      </c>
      <c r="D15" s="1">
        <v>0.5</v>
      </c>
      <c r="E15" s="1" t="s">
        <v>4</v>
      </c>
      <c r="F15" s="1">
        <v>163</v>
      </c>
      <c r="G15" s="1">
        <v>0.122</v>
      </c>
      <c r="H15" s="1">
        <v>2.7</v>
      </c>
      <c r="I15" s="1">
        <v>84.4</v>
      </c>
      <c r="J15" s="1">
        <v>12.52</v>
      </c>
      <c r="K15" s="1">
        <v>7.0000000000000007E-2</v>
      </c>
      <c r="L15" s="1">
        <v>2.99</v>
      </c>
      <c r="M15" s="1">
        <f t="shared" si="0"/>
        <v>0.1112559241706161</v>
      </c>
      <c r="N15" s="1">
        <f t="shared" si="1"/>
        <v>7.1090047393364926E-4</v>
      </c>
      <c r="O15" s="1">
        <f t="shared" si="2"/>
        <v>0.11196682464454975</v>
      </c>
      <c r="P15" s="1">
        <f t="shared" si="3"/>
        <v>0.42511848341232228</v>
      </c>
      <c r="Q15">
        <f>100-I15-J15-K15-L15</f>
        <v>1.9999999999994689E-2</v>
      </c>
      <c r="R15" s="1">
        <v>0</v>
      </c>
      <c r="S15" s="1">
        <v>48</v>
      </c>
      <c r="T15" s="1">
        <v>0.5</v>
      </c>
      <c r="U15" s="1">
        <v>7</v>
      </c>
      <c r="V15" s="1">
        <v>100</v>
      </c>
      <c r="W15" s="1">
        <v>9500</v>
      </c>
      <c r="X15" s="1">
        <v>25</v>
      </c>
      <c r="Y15" s="1" t="s">
        <v>2</v>
      </c>
      <c r="Z15" s="1">
        <v>500.13</v>
      </c>
      <c r="AA15" s="1">
        <v>1.875</v>
      </c>
      <c r="AB15" s="1">
        <v>8</v>
      </c>
      <c r="AC15" s="1" t="s">
        <v>60</v>
      </c>
      <c r="AD15" s="1">
        <v>0.17</v>
      </c>
      <c r="AE15" s="1"/>
    </row>
    <row r="16" spans="1:31">
      <c r="A16" s="1">
        <v>11</v>
      </c>
      <c r="B16" s="2" t="s">
        <v>91</v>
      </c>
      <c r="C16" s="1">
        <v>700</v>
      </c>
      <c r="D16" s="1">
        <v>0.5</v>
      </c>
      <c r="E16" s="1" t="s">
        <v>4</v>
      </c>
      <c r="F16" s="1">
        <v>453</v>
      </c>
      <c r="G16" s="1">
        <v>0.107</v>
      </c>
      <c r="H16" s="1">
        <v>12.8</v>
      </c>
      <c r="I16" s="1">
        <v>91.3</v>
      </c>
      <c r="J16" s="1">
        <v>6.61</v>
      </c>
      <c r="K16" s="1">
        <v>0.13</v>
      </c>
      <c r="L16" s="1">
        <v>1.98</v>
      </c>
      <c r="M16" s="1">
        <f t="shared" si="0"/>
        <v>5.4299014238773279E-2</v>
      </c>
      <c r="N16" s="1">
        <f t="shared" si="1"/>
        <v>1.2204662807072447E-3</v>
      </c>
      <c r="O16" s="1">
        <f t="shared" si="2"/>
        <v>5.5519480519480524E-2</v>
      </c>
      <c r="P16" s="1">
        <f t="shared" si="3"/>
        <v>0.26024096385542167</v>
      </c>
      <c r="Q16">
        <v>0</v>
      </c>
      <c r="R16" s="1">
        <v>0</v>
      </c>
      <c r="S16" s="1">
        <v>48</v>
      </c>
      <c r="T16" s="1">
        <v>0.5</v>
      </c>
      <c r="U16" s="1">
        <v>7</v>
      </c>
      <c r="V16" s="1">
        <v>100</v>
      </c>
      <c r="W16" s="1">
        <v>9500</v>
      </c>
      <c r="X16" s="1">
        <v>25</v>
      </c>
      <c r="Y16" s="1" t="s">
        <v>2</v>
      </c>
      <c r="Z16" s="1">
        <v>500.13</v>
      </c>
      <c r="AA16" s="1">
        <v>1.875</v>
      </c>
      <c r="AB16" s="1">
        <v>8</v>
      </c>
      <c r="AC16" s="1" t="s">
        <v>60</v>
      </c>
      <c r="AD16" s="1">
        <v>0.14000000000000001</v>
      </c>
      <c r="AE16" s="1"/>
    </row>
    <row r="17" spans="1:31">
      <c r="A17" s="1">
        <v>12</v>
      </c>
      <c r="B17" s="2" t="s">
        <v>91</v>
      </c>
      <c r="C17" s="1">
        <v>900</v>
      </c>
      <c r="D17" s="1">
        <v>0.5</v>
      </c>
      <c r="E17" s="1" t="s">
        <v>4</v>
      </c>
      <c r="F17" s="1">
        <v>410</v>
      </c>
      <c r="G17" s="1">
        <v>0.124</v>
      </c>
      <c r="H17" s="1">
        <v>10.7</v>
      </c>
      <c r="I17" s="1">
        <v>95.6</v>
      </c>
      <c r="J17" s="1">
        <v>3.05</v>
      </c>
      <c r="K17" s="1">
        <v>0.31</v>
      </c>
      <c r="L17" s="1">
        <v>0.98</v>
      </c>
      <c r="M17" s="1">
        <f t="shared" si="0"/>
        <v>2.3927824267782428E-2</v>
      </c>
      <c r="N17" s="1">
        <f t="shared" si="1"/>
        <v>2.7794381350866705E-3</v>
      </c>
      <c r="O17" s="1">
        <f t="shared" si="2"/>
        <v>2.6707262402869098E-2</v>
      </c>
      <c r="P17" s="1">
        <f t="shared" si="3"/>
        <v>0.12301255230125524</v>
      </c>
      <c r="Q17">
        <f>100-I17-J17-K17-L17</f>
        <v>6.0000000000005826E-2</v>
      </c>
      <c r="R17" s="1">
        <v>0</v>
      </c>
      <c r="S17" s="1">
        <v>48</v>
      </c>
      <c r="T17" s="1">
        <v>0.5</v>
      </c>
      <c r="U17" s="1">
        <v>7</v>
      </c>
      <c r="V17" s="1">
        <v>100</v>
      </c>
      <c r="W17" s="1">
        <v>9500</v>
      </c>
      <c r="X17" s="1">
        <v>25</v>
      </c>
      <c r="Y17" s="1" t="s">
        <v>2</v>
      </c>
      <c r="Z17" s="1">
        <v>500.13</v>
      </c>
      <c r="AA17" s="1">
        <v>1.875</v>
      </c>
      <c r="AB17" s="1">
        <v>8</v>
      </c>
      <c r="AC17" s="1" t="s">
        <v>60</v>
      </c>
      <c r="AD17" s="1">
        <v>0.19</v>
      </c>
      <c r="AE17" s="1"/>
    </row>
    <row r="18" spans="1:31">
      <c r="A18" s="1">
        <v>13</v>
      </c>
      <c r="B18" s="2" t="s">
        <v>92</v>
      </c>
      <c r="C18" s="1">
        <v>500</v>
      </c>
      <c r="D18" s="1">
        <v>0.5</v>
      </c>
      <c r="E18" s="1" t="s">
        <v>4</v>
      </c>
      <c r="F18" s="1">
        <v>379</v>
      </c>
      <c r="G18" s="1">
        <v>0.11700000000000001</v>
      </c>
      <c r="H18" s="1">
        <v>8.35</v>
      </c>
      <c r="I18" s="1">
        <v>86.6</v>
      </c>
      <c r="J18" s="1">
        <v>10.31</v>
      </c>
      <c r="K18" s="1">
        <v>0.1</v>
      </c>
      <c r="L18" s="1">
        <v>2.94</v>
      </c>
      <c r="M18" s="1">
        <f t="shared" si="0"/>
        <v>8.9289838337182459E-2</v>
      </c>
      <c r="N18" s="1">
        <f t="shared" si="1"/>
        <v>9.8977235235895764E-4</v>
      </c>
      <c r="O18" s="1">
        <f t="shared" si="2"/>
        <v>9.027961068954142E-2</v>
      </c>
      <c r="P18" s="1">
        <f t="shared" si="3"/>
        <v>0.40739030023094691</v>
      </c>
      <c r="Q18">
        <f>100-I18-J18-K18-L18</f>
        <v>5.0000000000005151E-2</v>
      </c>
      <c r="R18" s="1">
        <v>0</v>
      </c>
      <c r="S18" s="1">
        <v>48</v>
      </c>
      <c r="T18" s="1">
        <v>0.5</v>
      </c>
      <c r="U18" s="1">
        <v>7</v>
      </c>
      <c r="V18" s="1">
        <v>100</v>
      </c>
      <c r="W18" s="1">
        <v>9500</v>
      </c>
      <c r="X18" s="1">
        <v>25</v>
      </c>
      <c r="Y18" s="1" t="s">
        <v>2</v>
      </c>
      <c r="Z18" s="1">
        <v>500.13</v>
      </c>
      <c r="AA18" s="1">
        <v>1.875</v>
      </c>
      <c r="AB18" s="1">
        <v>8</v>
      </c>
      <c r="AC18" s="1" t="s">
        <v>60</v>
      </c>
      <c r="AD18" s="1">
        <v>0.11</v>
      </c>
      <c r="AE18" s="1"/>
    </row>
    <row r="19" spans="1:31">
      <c r="A19" s="1">
        <v>14</v>
      </c>
      <c r="B19" s="2" t="s">
        <v>92</v>
      </c>
      <c r="C19" s="1">
        <v>700</v>
      </c>
      <c r="D19" s="1">
        <v>0.5</v>
      </c>
      <c r="E19" s="1" t="s">
        <v>4</v>
      </c>
      <c r="F19" s="1">
        <v>134</v>
      </c>
      <c r="G19" s="1">
        <v>0.09</v>
      </c>
      <c r="H19" s="1">
        <v>7.83</v>
      </c>
      <c r="I19" s="1">
        <v>90.7</v>
      </c>
      <c r="J19" s="1">
        <v>7.53</v>
      </c>
      <c r="K19" s="1">
        <v>0.19</v>
      </c>
      <c r="L19" s="1">
        <v>1.55</v>
      </c>
      <c r="M19" s="1">
        <f t="shared" si="0"/>
        <v>6.2265711135611905E-2</v>
      </c>
      <c r="N19" s="1">
        <f t="shared" si="1"/>
        <v>1.7955583556465585E-3</v>
      </c>
      <c r="O19" s="1">
        <f t="shared" si="2"/>
        <v>6.4061269491258468E-2</v>
      </c>
      <c r="P19" s="1">
        <f t="shared" si="3"/>
        <v>0.20507166482910694</v>
      </c>
      <c r="Q19">
        <f>100-I19-J19-K19-L19</f>
        <v>2.9999999999996918E-2</v>
      </c>
      <c r="R19" s="1">
        <v>0</v>
      </c>
      <c r="S19" s="1">
        <v>48</v>
      </c>
      <c r="T19" s="1">
        <v>0.5</v>
      </c>
      <c r="U19" s="1">
        <v>7</v>
      </c>
      <c r="V19" s="1">
        <v>100</v>
      </c>
      <c r="W19" s="1">
        <v>9500</v>
      </c>
      <c r="X19" s="1">
        <v>25</v>
      </c>
      <c r="Y19" s="1" t="s">
        <v>2</v>
      </c>
      <c r="Z19" s="1">
        <v>500.13</v>
      </c>
      <c r="AA19" s="1">
        <v>1.875</v>
      </c>
      <c r="AB19" s="1">
        <v>8</v>
      </c>
      <c r="AC19" s="1" t="s">
        <v>60</v>
      </c>
      <c r="AD19" s="1">
        <v>0.16400000000000001</v>
      </c>
      <c r="AE19" s="1"/>
    </row>
    <row r="20" spans="1:31">
      <c r="A20" s="1">
        <v>15</v>
      </c>
      <c r="B20" s="2" t="s">
        <v>92</v>
      </c>
      <c r="C20" s="1">
        <v>900</v>
      </c>
      <c r="D20" s="1">
        <v>0.5</v>
      </c>
      <c r="E20" s="1" t="s">
        <v>4</v>
      </c>
      <c r="F20" s="1">
        <v>429</v>
      </c>
      <c r="G20" s="1">
        <v>9.9000000000000005E-2</v>
      </c>
      <c r="H20" s="1">
        <v>12</v>
      </c>
      <c r="I20" s="1">
        <v>84.3</v>
      </c>
      <c r="J20" s="1">
        <v>12.85</v>
      </c>
      <c r="K20" s="1">
        <v>0.17</v>
      </c>
      <c r="L20" s="1">
        <v>2.63</v>
      </c>
      <c r="M20" s="1">
        <f t="shared" si="0"/>
        <v>0.11432384341637011</v>
      </c>
      <c r="N20" s="1">
        <f t="shared" si="1"/>
        <v>1.7285205897305544E-3</v>
      </c>
      <c r="O20" s="1">
        <f t="shared" si="2"/>
        <v>0.11605236400610067</v>
      </c>
      <c r="P20" s="1">
        <f t="shared" si="3"/>
        <v>0.37437722419928826</v>
      </c>
      <c r="Q20">
        <f>100-I20-J20-K20-L20</f>
        <v>5.0000000000003375E-2</v>
      </c>
      <c r="R20" s="1">
        <v>0</v>
      </c>
      <c r="S20" s="1">
        <v>48</v>
      </c>
      <c r="T20" s="1">
        <v>0.5</v>
      </c>
      <c r="U20" s="1">
        <v>7</v>
      </c>
      <c r="V20" s="1">
        <v>100</v>
      </c>
      <c r="W20" s="1">
        <v>9500</v>
      </c>
      <c r="X20" s="1">
        <v>25</v>
      </c>
      <c r="Y20" s="1" t="s">
        <v>2</v>
      </c>
      <c r="Z20" s="1">
        <v>500.13</v>
      </c>
      <c r="AA20" s="1">
        <v>1.875</v>
      </c>
      <c r="AB20" s="1">
        <v>8</v>
      </c>
      <c r="AC20" s="1" t="s">
        <v>60</v>
      </c>
      <c r="AD20" s="1">
        <v>0.17599999999999999</v>
      </c>
      <c r="AE20" s="1"/>
    </row>
    <row r="21" spans="1:31">
      <c r="A21" s="1">
        <v>16</v>
      </c>
      <c r="B21" s="2" t="s">
        <v>93</v>
      </c>
      <c r="C21" s="1">
        <v>500</v>
      </c>
      <c r="D21" s="1">
        <v>0.5</v>
      </c>
      <c r="E21" s="1" t="s">
        <v>4</v>
      </c>
      <c r="F21" s="1">
        <v>292</v>
      </c>
      <c r="G21" s="1">
        <v>0.23799999999999999</v>
      </c>
      <c r="H21" s="1">
        <v>2.59</v>
      </c>
      <c r="I21" s="1">
        <v>88.3</v>
      </c>
      <c r="J21" s="1">
        <v>8.5299999999999994</v>
      </c>
      <c r="K21" s="1">
        <v>0.09</v>
      </c>
      <c r="L21" s="1">
        <v>3.09</v>
      </c>
      <c r="M21" s="1">
        <f>(J21/16)/(I21/12)</f>
        <v>7.2451868629671567E-2</v>
      </c>
      <c r="N21" s="1">
        <f t="shared" si="1"/>
        <v>8.7364504125546024E-4</v>
      </c>
      <c r="O21" s="1">
        <f t="shared" si="2"/>
        <v>7.3325513670927031E-2</v>
      </c>
      <c r="P21" s="1">
        <f t="shared" si="3"/>
        <v>0.41993204983012455</v>
      </c>
      <c r="Q21">
        <v>0</v>
      </c>
      <c r="R21" s="1">
        <v>0</v>
      </c>
      <c r="S21" s="1">
        <v>48</v>
      </c>
      <c r="T21" s="1">
        <v>0.5</v>
      </c>
      <c r="U21" s="1">
        <v>7</v>
      </c>
      <c r="V21" s="1">
        <v>100</v>
      </c>
      <c r="W21" s="1">
        <v>9500</v>
      </c>
      <c r="X21" s="1">
        <v>25</v>
      </c>
      <c r="Y21" s="1" t="s">
        <v>2</v>
      </c>
      <c r="Z21" s="1">
        <v>500.13</v>
      </c>
      <c r="AA21" s="1">
        <v>1.875</v>
      </c>
      <c r="AB21" s="1">
        <v>8</v>
      </c>
      <c r="AC21" s="1" t="s">
        <v>60</v>
      </c>
      <c r="AD21" s="1">
        <v>0.1</v>
      </c>
      <c r="AE21" s="1"/>
    </row>
    <row r="22" spans="1:31">
      <c r="A22" s="1">
        <v>17</v>
      </c>
      <c r="B22" s="2" t="s">
        <v>93</v>
      </c>
      <c r="C22" s="1">
        <v>700</v>
      </c>
      <c r="D22" s="1">
        <v>0.5</v>
      </c>
      <c r="E22" s="1" t="s">
        <v>4</v>
      </c>
      <c r="F22" s="1">
        <v>393</v>
      </c>
      <c r="G22" s="1">
        <v>0.129</v>
      </c>
      <c r="H22" s="1">
        <v>14.6</v>
      </c>
      <c r="I22" s="1">
        <v>87.6</v>
      </c>
      <c r="J22" s="1">
        <v>10.46</v>
      </c>
      <c r="K22" s="1">
        <v>0.14000000000000001</v>
      </c>
      <c r="L22" s="1">
        <v>1.79</v>
      </c>
      <c r="M22" s="1">
        <f t="shared" si="0"/>
        <v>8.9554794520547959E-2</v>
      </c>
      <c r="N22" s="1">
        <f t="shared" si="1"/>
        <v>1.3698630136986301E-3</v>
      </c>
      <c r="O22" s="1">
        <f t="shared" si="2"/>
        <v>9.0924657534246583E-2</v>
      </c>
      <c r="P22" s="1">
        <f t="shared" si="3"/>
        <v>0.24520547945205481</v>
      </c>
      <c r="Q22">
        <f>100-I22-J22-K22-L22</f>
        <v>1.0000000000004672E-2</v>
      </c>
      <c r="R22" s="1">
        <v>0</v>
      </c>
      <c r="S22" s="1">
        <v>48</v>
      </c>
      <c r="T22" s="1">
        <v>0.5</v>
      </c>
      <c r="U22" s="1">
        <v>7</v>
      </c>
      <c r="V22" s="1">
        <v>100</v>
      </c>
      <c r="W22" s="1">
        <v>9500</v>
      </c>
      <c r="X22" s="1">
        <v>25</v>
      </c>
      <c r="Y22" s="1" t="s">
        <v>2</v>
      </c>
      <c r="Z22" s="1">
        <v>500.13</v>
      </c>
      <c r="AA22" s="1">
        <v>1.875</v>
      </c>
      <c r="AB22" s="1">
        <v>8</v>
      </c>
      <c r="AC22" s="1" t="s">
        <v>60</v>
      </c>
      <c r="AD22" s="1">
        <v>9.8000000000000004E-2</v>
      </c>
      <c r="AE22" s="1"/>
    </row>
    <row r="23" spans="1:31">
      <c r="A23" s="1">
        <v>18</v>
      </c>
      <c r="B23" s="2" t="s">
        <v>93</v>
      </c>
      <c r="C23" s="1">
        <v>900</v>
      </c>
      <c r="D23" s="1">
        <v>0.5</v>
      </c>
      <c r="E23" s="1" t="s">
        <v>4</v>
      </c>
      <c r="F23" s="1">
        <v>60.9</v>
      </c>
      <c r="G23" s="1">
        <v>7.2999999999999995E-2</v>
      </c>
      <c r="H23" s="1">
        <v>8.02</v>
      </c>
      <c r="I23" s="1">
        <v>83.8</v>
      </c>
      <c r="J23" s="1">
        <v>12.21</v>
      </c>
      <c r="K23" s="1">
        <v>1.26</v>
      </c>
      <c r="L23" s="1">
        <v>2.68</v>
      </c>
      <c r="M23" s="1">
        <f t="shared" si="0"/>
        <v>0.10927804295942721</v>
      </c>
      <c r="N23" s="1">
        <f t="shared" si="1"/>
        <v>1.2887828162291169E-2</v>
      </c>
      <c r="O23" s="1">
        <f t="shared" si="2"/>
        <v>0.12216587112171838</v>
      </c>
      <c r="P23" s="1">
        <f t="shared" si="3"/>
        <v>0.3837708830548926</v>
      </c>
      <c r="Q23">
        <f>100-I23-J23-K23-L23</f>
        <v>5.0000000000002043E-2</v>
      </c>
      <c r="R23" s="1">
        <v>0</v>
      </c>
      <c r="S23" s="1">
        <v>48</v>
      </c>
      <c r="T23" s="1">
        <v>0.5</v>
      </c>
      <c r="U23" s="1">
        <v>7</v>
      </c>
      <c r="V23" s="1">
        <v>100</v>
      </c>
      <c r="W23" s="1">
        <v>9500</v>
      </c>
      <c r="X23" s="1">
        <v>25</v>
      </c>
      <c r="Y23" s="1" t="s">
        <v>2</v>
      </c>
      <c r="Z23" s="1">
        <v>500.13</v>
      </c>
      <c r="AA23" s="1">
        <v>1.875</v>
      </c>
      <c r="AB23" s="1">
        <v>8</v>
      </c>
      <c r="AC23" s="1" t="s">
        <v>60</v>
      </c>
      <c r="AD23" s="1">
        <v>0.19400000000000001</v>
      </c>
      <c r="AE23" s="1"/>
    </row>
    <row r="24" spans="1:31">
      <c r="A24" s="1">
        <v>19</v>
      </c>
      <c r="B24" s="2" t="s">
        <v>94</v>
      </c>
      <c r="C24" s="1">
        <v>500</v>
      </c>
      <c r="D24" s="1">
        <v>0.5</v>
      </c>
      <c r="E24" s="1" t="s">
        <v>4</v>
      </c>
      <c r="F24" s="1">
        <v>121</v>
      </c>
      <c r="G24" s="1">
        <v>8.6999999999999994E-2</v>
      </c>
      <c r="H24" s="1">
        <v>16.600000000000001</v>
      </c>
      <c r="I24" s="1">
        <v>83.2</v>
      </c>
      <c r="J24" s="1">
        <v>13.06</v>
      </c>
      <c r="K24" s="1">
        <v>1.07</v>
      </c>
      <c r="L24" s="1">
        <v>2.59</v>
      </c>
      <c r="M24" s="1">
        <f t="shared" si="0"/>
        <v>0.11772836538461538</v>
      </c>
      <c r="N24" s="1">
        <f t="shared" si="1"/>
        <v>1.1023351648351647E-2</v>
      </c>
      <c r="O24" s="1">
        <f t="shared" si="2"/>
        <v>0.12875171703296703</v>
      </c>
      <c r="P24" s="1">
        <f t="shared" si="3"/>
        <v>0.37355769230769226</v>
      </c>
      <c r="Q24">
        <f>100-I24-J24-K24-L24</f>
        <v>7.9999999999996518E-2</v>
      </c>
      <c r="R24" s="1">
        <v>0</v>
      </c>
      <c r="S24" s="1">
        <v>48</v>
      </c>
      <c r="T24" s="1">
        <v>0.5</v>
      </c>
      <c r="U24" s="1">
        <v>7</v>
      </c>
      <c r="V24" s="1">
        <v>100</v>
      </c>
      <c r="W24" s="1">
        <v>9500</v>
      </c>
      <c r="X24" s="1">
        <v>25</v>
      </c>
      <c r="Y24" s="1" t="s">
        <v>2</v>
      </c>
      <c r="Z24" s="1">
        <v>500.13</v>
      </c>
      <c r="AA24" s="1">
        <v>1.875</v>
      </c>
      <c r="AB24" s="1">
        <v>8</v>
      </c>
      <c r="AC24" s="1" t="s">
        <v>60</v>
      </c>
      <c r="AD24" s="1">
        <v>0.11600000000000001</v>
      </c>
      <c r="AE24" s="1"/>
    </row>
    <row r="25" spans="1:31">
      <c r="A25" s="1">
        <v>20</v>
      </c>
      <c r="B25" s="2" t="s">
        <v>94</v>
      </c>
      <c r="C25" s="1">
        <v>700</v>
      </c>
      <c r="D25" s="1">
        <v>0.5</v>
      </c>
      <c r="E25" s="1" t="s">
        <v>4</v>
      </c>
      <c r="F25" s="1">
        <v>232</v>
      </c>
      <c r="G25" s="1">
        <v>9.9000000000000005E-2</v>
      </c>
      <c r="H25" s="1">
        <v>18.8</v>
      </c>
      <c r="I25" s="1">
        <v>74.099999999999994</v>
      </c>
      <c r="J25" s="1">
        <v>23.62</v>
      </c>
      <c r="K25" s="1">
        <v>0.72</v>
      </c>
      <c r="L25" s="1">
        <v>1.53</v>
      </c>
      <c r="M25" s="1">
        <f t="shared" si="0"/>
        <v>0.2390688259109312</v>
      </c>
      <c r="N25" s="1">
        <f t="shared" si="1"/>
        <v>8.328513591671487E-3</v>
      </c>
      <c r="O25" s="1">
        <f t="shared" si="2"/>
        <v>0.24739733950260268</v>
      </c>
      <c r="P25" s="1">
        <f t="shared" si="3"/>
        <v>0.24777327935222673</v>
      </c>
      <c r="Q25">
        <f>100-I25-J25-K25-L25</f>
        <v>3.000000000000469E-2</v>
      </c>
      <c r="R25" s="1">
        <v>0</v>
      </c>
      <c r="S25" s="1">
        <v>48</v>
      </c>
      <c r="T25" s="1">
        <v>0.5</v>
      </c>
      <c r="U25" s="1">
        <v>7</v>
      </c>
      <c r="V25" s="1">
        <v>100</v>
      </c>
      <c r="W25" s="1">
        <v>9500</v>
      </c>
      <c r="X25" s="1">
        <v>25</v>
      </c>
      <c r="Y25" s="1" t="s">
        <v>2</v>
      </c>
      <c r="Z25" s="1">
        <v>500.13</v>
      </c>
      <c r="AA25" s="1">
        <v>1.875</v>
      </c>
      <c r="AB25" s="1">
        <v>8</v>
      </c>
      <c r="AC25" s="1" t="s">
        <v>60</v>
      </c>
      <c r="AD25" s="1">
        <v>0.13</v>
      </c>
      <c r="AE25" s="1"/>
    </row>
    <row r="26" spans="1:31">
      <c r="A26" s="1">
        <v>21</v>
      </c>
      <c r="B26" s="2" t="s">
        <v>94</v>
      </c>
      <c r="C26" s="1">
        <v>900</v>
      </c>
      <c r="D26" s="1">
        <v>0.5</v>
      </c>
      <c r="E26" s="1" t="s">
        <v>4</v>
      </c>
      <c r="F26" s="1">
        <v>60.9</v>
      </c>
      <c r="G26" s="1">
        <v>8.2000000000000003E-2</v>
      </c>
      <c r="H26" s="1">
        <v>22.7</v>
      </c>
      <c r="I26" s="1">
        <v>77.900000000000006</v>
      </c>
      <c r="J26" s="1">
        <v>20.02</v>
      </c>
      <c r="K26" s="1">
        <v>0.75</v>
      </c>
      <c r="L26" s="1">
        <v>1.25</v>
      </c>
      <c r="M26" s="1">
        <f t="shared" si="0"/>
        <v>0.1927471116816431</v>
      </c>
      <c r="N26" s="1">
        <f t="shared" si="1"/>
        <v>8.2523381624793682E-3</v>
      </c>
      <c r="O26" s="1">
        <f t="shared" si="2"/>
        <v>0.20099944984412249</v>
      </c>
      <c r="P26" s="1">
        <f t="shared" si="3"/>
        <v>0.1925545571245186</v>
      </c>
      <c r="Q26">
        <f>100-I26-J26-K26-L26</f>
        <v>7.9999999999994742E-2</v>
      </c>
      <c r="R26" s="1">
        <v>0</v>
      </c>
      <c r="S26" s="1">
        <v>48</v>
      </c>
      <c r="T26" s="1">
        <v>0.5</v>
      </c>
      <c r="U26" s="1">
        <v>7</v>
      </c>
      <c r="V26" s="1">
        <v>100</v>
      </c>
      <c r="W26" s="1">
        <v>9500</v>
      </c>
      <c r="X26" s="1">
        <v>25</v>
      </c>
      <c r="Y26" s="1" t="s">
        <v>2</v>
      </c>
      <c r="Z26" s="1">
        <v>500.13</v>
      </c>
      <c r="AA26" s="1">
        <v>1.875</v>
      </c>
      <c r="AB26" s="1">
        <v>8</v>
      </c>
      <c r="AC26" s="1" t="s">
        <v>60</v>
      </c>
      <c r="AD26" s="1">
        <v>0.11</v>
      </c>
      <c r="AE26" s="1"/>
    </row>
    <row r="27" spans="1:31">
      <c r="A27" s="1">
        <v>22</v>
      </c>
      <c r="B27" s="2" t="s">
        <v>61</v>
      </c>
      <c r="C27" s="1">
        <v>400</v>
      </c>
      <c r="D27" s="1">
        <v>0.5</v>
      </c>
      <c r="E27" s="1" t="s">
        <v>6</v>
      </c>
      <c r="F27" s="1">
        <v>858</v>
      </c>
      <c r="G27" s="1">
        <v>8.4000000000000005E-2</v>
      </c>
      <c r="H27" s="1">
        <v>1.42</v>
      </c>
      <c r="I27" s="1">
        <v>81.42</v>
      </c>
      <c r="J27" s="1">
        <v>12.23</v>
      </c>
      <c r="K27" s="1">
        <v>2.17</v>
      </c>
      <c r="L27" s="1">
        <v>0.76</v>
      </c>
      <c r="M27" s="1">
        <f t="shared" si="0"/>
        <v>0.11265659543109802</v>
      </c>
      <c r="N27" s="1">
        <f t="shared" si="1"/>
        <v>2.2844509948415623E-2</v>
      </c>
      <c r="O27" s="1">
        <f t="shared" si="2"/>
        <v>0.13550110537951363</v>
      </c>
      <c r="P27" s="1">
        <f t="shared" si="3"/>
        <v>0.11201179071481208</v>
      </c>
      <c r="Q27" s="1">
        <v>3.9</v>
      </c>
      <c r="R27" s="1">
        <v>0</v>
      </c>
      <c r="S27">
        <v>48</v>
      </c>
      <c r="T27">
        <v>0.245</v>
      </c>
      <c r="U27">
        <v>7</v>
      </c>
      <c r="V27" s="1">
        <v>100</v>
      </c>
      <c r="W27" s="1">
        <v>40</v>
      </c>
      <c r="X27" s="1">
        <v>25</v>
      </c>
      <c r="Y27" s="1" t="s">
        <v>2</v>
      </c>
      <c r="Z27" s="1">
        <v>500.13</v>
      </c>
      <c r="AA27" s="1">
        <v>1.875</v>
      </c>
      <c r="AB27" s="1">
        <v>8</v>
      </c>
      <c r="AC27" s="1" t="s">
        <v>60</v>
      </c>
      <c r="AD27" s="1">
        <v>43.4</v>
      </c>
    </row>
    <row r="28" spans="1:31">
      <c r="A28" s="1">
        <v>23</v>
      </c>
      <c r="B28" s="2" t="s">
        <v>96</v>
      </c>
      <c r="C28" s="1">
        <v>900</v>
      </c>
      <c r="D28" s="1">
        <v>2.8E-3</v>
      </c>
      <c r="E28" s="1" t="s">
        <v>5</v>
      </c>
      <c r="F28" s="1">
        <v>700</v>
      </c>
      <c r="G28">
        <v>0.25</v>
      </c>
      <c r="H28" s="1">
        <v>0.4</v>
      </c>
      <c r="I28" s="1">
        <v>81.5</v>
      </c>
      <c r="J28" s="1">
        <v>13</v>
      </c>
      <c r="K28" s="1">
        <v>1.2</v>
      </c>
      <c r="L28" s="1">
        <v>2.1</v>
      </c>
      <c r="M28" s="1">
        <f t="shared" si="0"/>
        <v>0.11963190184049079</v>
      </c>
      <c r="N28" s="1">
        <f t="shared" si="1"/>
        <v>1.2620508326029798E-2</v>
      </c>
      <c r="O28" s="1">
        <f t="shared" si="2"/>
        <v>0.13225241016652059</v>
      </c>
      <c r="P28" s="1">
        <f t="shared" si="3"/>
        <v>0.30920245398773005</v>
      </c>
      <c r="Q28" s="1">
        <v>2.2999999999999998</v>
      </c>
      <c r="R28" s="1">
        <v>7.0000000000000007E-2</v>
      </c>
      <c r="S28" s="1">
        <v>0.75</v>
      </c>
      <c r="T28" s="1">
        <v>1</v>
      </c>
      <c r="U28">
        <v>7</v>
      </c>
      <c r="V28" s="1">
        <v>1000</v>
      </c>
      <c r="W28" s="1">
        <v>200</v>
      </c>
      <c r="X28" s="1">
        <v>25</v>
      </c>
      <c r="Y28" s="1" t="s">
        <v>2</v>
      </c>
      <c r="Z28" s="1">
        <v>500.13</v>
      </c>
      <c r="AA28" s="1">
        <v>1.875</v>
      </c>
      <c r="AB28" s="1">
        <v>8</v>
      </c>
      <c r="AC28" s="1" t="s">
        <v>60</v>
      </c>
      <c r="AD28" s="1">
        <v>32.799999999999997</v>
      </c>
      <c r="AE28" s="1"/>
    </row>
    <row r="29" spans="1:31">
      <c r="A29" s="1">
        <v>24</v>
      </c>
      <c r="B29" s="2" t="s">
        <v>96</v>
      </c>
      <c r="C29" s="1">
        <v>900</v>
      </c>
      <c r="D29" s="1">
        <v>2.8E-3</v>
      </c>
      <c r="E29" s="1" t="s">
        <v>5</v>
      </c>
      <c r="F29" s="1">
        <v>700</v>
      </c>
      <c r="G29">
        <v>0.25</v>
      </c>
      <c r="H29" s="1">
        <v>0.4</v>
      </c>
      <c r="I29" s="1">
        <v>81.5</v>
      </c>
      <c r="J29" s="1">
        <v>13</v>
      </c>
      <c r="K29" s="1">
        <v>1.2</v>
      </c>
      <c r="L29" s="1">
        <v>2.1</v>
      </c>
      <c r="M29" s="1">
        <f t="shared" si="0"/>
        <v>0.11963190184049079</v>
      </c>
      <c r="N29" s="1">
        <f t="shared" si="1"/>
        <v>1.2620508326029798E-2</v>
      </c>
      <c r="O29" s="1">
        <f t="shared" si="2"/>
        <v>0.13225241016652059</v>
      </c>
      <c r="P29" s="1">
        <f t="shared" si="3"/>
        <v>0.30920245398773005</v>
      </c>
      <c r="Q29" s="1">
        <v>2.2999999999999998</v>
      </c>
      <c r="R29" s="1">
        <v>7.0000000000000007E-2</v>
      </c>
      <c r="S29" s="1">
        <v>0.75</v>
      </c>
      <c r="T29" s="1">
        <v>1</v>
      </c>
      <c r="U29">
        <v>7</v>
      </c>
      <c r="V29" s="1">
        <v>1000</v>
      </c>
      <c r="W29" s="1">
        <v>200</v>
      </c>
      <c r="X29" s="1">
        <v>25</v>
      </c>
      <c r="Y29" s="1" t="s">
        <v>7</v>
      </c>
      <c r="Z29" s="1">
        <v>414.08</v>
      </c>
      <c r="AA29" s="1">
        <v>1.875</v>
      </c>
      <c r="AB29" s="1">
        <v>8</v>
      </c>
      <c r="AC29" s="1" t="s">
        <v>59</v>
      </c>
      <c r="AD29" s="1">
        <v>14.7</v>
      </c>
      <c r="AE29" s="1"/>
    </row>
    <row r="30" spans="1:31">
      <c r="A30" s="1">
        <v>25</v>
      </c>
      <c r="B30" s="2" t="s">
        <v>96</v>
      </c>
      <c r="C30" s="1">
        <v>900</v>
      </c>
      <c r="D30" s="1">
        <v>2.8E-3</v>
      </c>
      <c r="E30" s="1" t="s">
        <v>6</v>
      </c>
      <c r="F30" s="1">
        <v>310</v>
      </c>
      <c r="G30">
        <v>0.125</v>
      </c>
      <c r="H30" s="1">
        <v>0.45</v>
      </c>
      <c r="I30" s="1">
        <v>46.7</v>
      </c>
      <c r="J30" s="1">
        <v>13</v>
      </c>
      <c r="K30" s="1">
        <v>0.9</v>
      </c>
      <c r="L30" s="1">
        <v>1.5</v>
      </c>
      <c r="M30" s="1">
        <f t="shared" si="0"/>
        <v>0.20877944325481795</v>
      </c>
      <c r="N30" s="1">
        <f t="shared" si="1"/>
        <v>1.6518813092688895E-2</v>
      </c>
      <c r="O30" s="1">
        <f t="shared" si="2"/>
        <v>0.22529825634750686</v>
      </c>
      <c r="P30" s="1">
        <f t="shared" si="3"/>
        <v>0.38543897216274087</v>
      </c>
      <c r="Q30" s="1">
        <v>30.5</v>
      </c>
      <c r="R30" s="1">
        <v>29.2</v>
      </c>
      <c r="S30" s="1">
        <v>0.75</v>
      </c>
      <c r="T30" s="1">
        <v>1</v>
      </c>
      <c r="U30">
        <v>7</v>
      </c>
      <c r="V30" s="1">
        <v>1000</v>
      </c>
      <c r="W30" s="1">
        <v>200</v>
      </c>
      <c r="X30" s="1">
        <v>25</v>
      </c>
      <c r="Y30" s="1" t="s">
        <v>2</v>
      </c>
      <c r="Z30" s="1">
        <v>500.13</v>
      </c>
      <c r="AA30" s="1">
        <v>1.875</v>
      </c>
      <c r="AB30" s="1">
        <v>8</v>
      </c>
      <c r="AC30" s="1" t="s">
        <v>60</v>
      </c>
      <c r="AD30" s="1">
        <v>14.6</v>
      </c>
      <c r="AE30" s="1"/>
    </row>
    <row r="31" spans="1:31">
      <c r="A31" s="1">
        <v>26</v>
      </c>
      <c r="B31" s="2" t="s">
        <v>96</v>
      </c>
      <c r="C31" s="1">
        <v>900</v>
      </c>
      <c r="D31" s="1">
        <v>2.8E-3</v>
      </c>
      <c r="E31" s="1" t="s">
        <v>6</v>
      </c>
      <c r="F31" s="1">
        <v>310</v>
      </c>
      <c r="G31">
        <v>0.125</v>
      </c>
      <c r="H31" s="1">
        <v>0.45</v>
      </c>
      <c r="I31" s="1">
        <v>46.7</v>
      </c>
      <c r="J31" s="1">
        <v>13</v>
      </c>
      <c r="K31" s="1">
        <v>0.9</v>
      </c>
      <c r="L31" s="1">
        <v>1.5</v>
      </c>
      <c r="M31" s="1">
        <f t="shared" si="0"/>
        <v>0.20877944325481795</v>
      </c>
      <c r="N31" s="1">
        <f t="shared" si="1"/>
        <v>1.6518813092688895E-2</v>
      </c>
      <c r="O31" s="1">
        <f t="shared" si="2"/>
        <v>0.22529825634750686</v>
      </c>
      <c r="P31" s="1">
        <f t="shared" si="3"/>
        <v>0.38543897216274087</v>
      </c>
      <c r="Q31" s="1">
        <v>30.5</v>
      </c>
      <c r="R31" s="1">
        <v>29.2</v>
      </c>
      <c r="S31" s="1">
        <v>0.75</v>
      </c>
      <c r="T31" s="1">
        <v>1</v>
      </c>
      <c r="U31">
        <v>7</v>
      </c>
      <c r="V31" s="1">
        <v>1000</v>
      </c>
      <c r="W31" s="1">
        <v>200</v>
      </c>
      <c r="X31" s="1">
        <v>25</v>
      </c>
      <c r="Y31" s="1" t="s">
        <v>7</v>
      </c>
      <c r="Z31" s="1">
        <v>414.08</v>
      </c>
      <c r="AA31" s="1">
        <v>1.875</v>
      </c>
      <c r="AB31" s="1">
        <v>8</v>
      </c>
      <c r="AC31" s="1" t="s">
        <v>59</v>
      </c>
      <c r="AD31" s="1">
        <v>652</v>
      </c>
      <c r="AE31" s="1"/>
    </row>
    <row r="32" spans="1:31">
      <c r="A32" s="1">
        <v>27</v>
      </c>
      <c r="B32" s="2" t="s">
        <v>52</v>
      </c>
      <c r="C32" s="1">
        <v>600</v>
      </c>
      <c r="D32">
        <v>2</v>
      </c>
      <c r="E32" s="1" t="s">
        <v>8</v>
      </c>
      <c r="F32" s="1">
        <v>10.88</v>
      </c>
      <c r="G32">
        <v>3.2000000000000001E-2</v>
      </c>
      <c r="H32" s="1">
        <v>3.39</v>
      </c>
      <c r="I32" s="1">
        <v>40.4</v>
      </c>
      <c r="J32" s="1">
        <v>33.1</v>
      </c>
      <c r="K32" s="1">
        <v>0.1</v>
      </c>
      <c r="L32" s="1">
        <v>0.7</v>
      </c>
      <c r="M32" s="1">
        <f t="shared" si="0"/>
        <v>0.61448019801980203</v>
      </c>
      <c r="N32" s="1">
        <f t="shared" si="1"/>
        <v>2.1216407355021216E-3</v>
      </c>
      <c r="O32" s="1">
        <f t="shared" si="2"/>
        <v>0.61660183875530417</v>
      </c>
      <c r="P32" s="1">
        <f t="shared" si="3"/>
        <v>0.20792079207920791</v>
      </c>
      <c r="Q32">
        <f t="shared" ref="Q32:Q58" si="4">100-I32-J32-K32-L32</f>
        <v>25.7</v>
      </c>
      <c r="R32" s="1">
        <v>3.08</v>
      </c>
      <c r="S32" s="1">
        <v>24</v>
      </c>
      <c r="T32" s="1">
        <v>1</v>
      </c>
      <c r="U32">
        <v>7</v>
      </c>
      <c r="V32" s="1">
        <v>20000</v>
      </c>
      <c r="W32" s="1">
        <v>75</v>
      </c>
      <c r="X32" s="1">
        <v>20</v>
      </c>
      <c r="Y32" s="1" t="s">
        <v>1</v>
      </c>
      <c r="Z32" s="1">
        <v>414.08</v>
      </c>
      <c r="AA32" s="1">
        <v>1.875</v>
      </c>
      <c r="AB32" s="1">
        <v>8</v>
      </c>
      <c r="AC32" s="1" t="s">
        <v>59</v>
      </c>
      <c r="AD32" s="1">
        <v>3.3859999999999998E-5</v>
      </c>
      <c r="AE32" s="1"/>
    </row>
    <row r="33" spans="1:31">
      <c r="A33" s="1">
        <v>28</v>
      </c>
      <c r="B33" s="2" t="s">
        <v>53</v>
      </c>
      <c r="C33" s="1">
        <v>600</v>
      </c>
      <c r="D33">
        <v>2</v>
      </c>
      <c r="E33" s="1" t="s">
        <v>8</v>
      </c>
      <c r="F33" s="1">
        <v>211.79</v>
      </c>
      <c r="G33" s="1">
        <v>0.16500000000000001</v>
      </c>
      <c r="H33" s="1">
        <v>3.71</v>
      </c>
      <c r="I33" s="1">
        <v>82.74</v>
      </c>
      <c r="J33" s="1">
        <v>16.22</v>
      </c>
      <c r="K33" s="1">
        <v>0.1</v>
      </c>
      <c r="L33" s="1">
        <v>0.7</v>
      </c>
      <c r="M33" s="1">
        <f t="shared" si="0"/>
        <v>0.14702683103698333</v>
      </c>
      <c r="N33" s="1">
        <f t="shared" si="1"/>
        <v>1.0359473738734074E-3</v>
      </c>
      <c r="O33" s="1">
        <f t="shared" si="2"/>
        <v>0.14806277841085672</v>
      </c>
      <c r="P33" s="1">
        <f t="shared" si="3"/>
        <v>0.10152284263959391</v>
      </c>
      <c r="Q33">
        <f t="shared" si="4"/>
        <v>0.24000000000000632</v>
      </c>
      <c r="R33" s="1">
        <v>0</v>
      </c>
      <c r="S33" s="1">
        <v>24</v>
      </c>
      <c r="T33" s="1">
        <v>1</v>
      </c>
      <c r="U33">
        <v>7</v>
      </c>
      <c r="V33" s="1">
        <v>20000</v>
      </c>
      <c r="W33" s="1">
        <v>75</v>
      </c>
      <c r="X33" s="1">
        <v>20</v>
      </c>
      <c r="Y33" s="1" t="s">
        <v>1</v>
      </c>
      <c r="Z33" s="1">
        <v>414.08</v>
      </c>
      <c r="AA33" s="1">
        <v>1.875</v>
      </c>
      <c r="AB33" s="1">
        <v>8</v>
      </c>
      <c r="AC33" s="1" t="s">
        <v>59</v>
      </c>
      <c r="AD33" s="1">
        <v>4.6600000000000001E-5</v>
      </c>
      <c r="AE33" s="1"/>
    </row>
    <row r="34" spans="1:31">
      <c r="A34" s="1">
        <v>29</v>
      </c>
      <c r="B34" s="2" t="s">
        <v>52</v>
      </c>
      <c r="C34" s="1">
        <v>600</v>
      </c>
      <c r="D34">
        <v>2</v>
      </c>
      <c r="E34" s="1" t="s">
        <v>8</v>
      </c>
      <c r="F34" s="1">
        <v>10.88</v>
      </c>
      <c r="G34">
        <v>3.2000000000000001E-2</v>
      </c>
      <c r="H34" s="1">
        <v>3.39</v>
      </c>
      <c r="I34" s="1">
        <v>40.4</v>
      </c>
      <c r="J34" s="1">
        <v>33.1</v>
      </c>
      <c r="K34" s="1">
        <v>0.1</v>
      </c>
      <c r="L34" s="1">
        <v>0.7</v>
      </c>
      <c r="M34" s="1">
        <f t="shared" si="0"/>
        <v>0.61448019801980203</v>
      </c>
      <c r="N34" s="1">
        <f t="shared" si="1"/>
        <v>2.1216407355021216E-3</v>
      </c>
      <c r="O34" s="1">
        <f t="shared" si="2"/>
        <v>0.61660183875530417</v>
      </c>
      <c r="P34" s="1">
        <f t="shared" si="3"/>
        <v>0.20792079207920791</v>
      </c>
      <c r="Q34">
        <f t="shared" si="4"/>
        <v>25.7</v>
      </c>
      <c r="R34" s="1">
        <v>3.08</v>
      </c>
      <c r="S34" s="1">
        <v>24</v>
      </c>
      <c r="T34" s="1">
        <v>1</v>
      </c>
      <c r="U34">
        <v>7</v>
      </c>
      <c r="V34" s="1">
        <v>20000</v>
      </c>
      <c r="W34" s="1">
        <v>75</v>
      </c>
      <c r="X34" s="1">
        <v>20</v>
      </c>
      <c r="Y34" s="1" t="s">
        <v>9</v>
      </c>
      <c r="Z34" s="1">
        <v>400.11</v>
      </c>
      <c r="AA34" s="1">
        <v>1.833</v>
      </c>
      <c r="AB34" s="1">
        <v>6</v>
      </c>
      <c r="AC34" s="1" t="s">
        <v>60</v>
      </c>
      <c r="AD34" s="1">
        <v>2.1359999999999999E-5</v>
      </c>
      <c r="AE34" s="1"/>
    </row>
    <row r="35" spans="1:31">
      <c r="A35" s="1">
        <v>30</v>
      </c>
      <c r="B35" s="2" t="s">
        <v>53</v>
      </c>
      <c r="C35" s="1">
        <v>600</v>
      </c>
      <c r="D35">
        <v>2</v>
      </c>
      <c r="E35" s="1" t="s">
        <v>8</v>
      </c>
      <c r="F35" s="1">
        <v>211.79</v>
      </c>
      <c r="G35" s="1">
        <v>0.16500000000000001</v>
      </c>
      <c r="H35" s="1">
        <v>3.71</v>
      </c>
      <c r="I35" s="1">
        <v>82.74</v>
      </c>
      <c r="J35" s="1">
        <v>16.22</v>
      </c>
      <c r="K35" s="1">
        <v>0.1</v>
      </c>
      <c r="L35" s="1">
        <v>0.7</v>
      </c>
      <c r="M35" s="1">
        <f t="shared" si="0"/>
        <v>0.14702683103698333</v>
      </c>
      <c r="N35" s="1">
        <f t="shared" si="1"/>
        <v>1.0359473738734074E-3</v>
      </c>
      <c r="O35" s="1">
        <f t="shared" si="2"/>
        <v>0.14806277841085672</v>
      </c>
      <c r="P35" s="1">
        <f t="shared" si="3"/>
        <v>0.10152284263959391</v>
      </c>
      <c r="Q35">
        <f t="shared" si="4"/>
        <v>0.24000000000000632</v>
      </c>
      <c r="R35" s="1">
        <v>0</v>
      </c>
      <c r="S35" s="1">
        <v>24</v>
      </c>
      <c r="T35" s="1">
        <v>1</v>
      </c>
      <c r="U35">
        <v>7</v>
      </c>
      <c r="V35" s="1">
        <v>20000</v>
      </c>
      <c r="W35" s="1">
        <v>75</v>
      </c>
      <c r="X35" s="1">
        <v>20</v>
      </c>
      <c r="Y35" s="1" t="s">
        <v>9</v>
      </c>
      <c r="Z35" s="1">
        <v>400.11</v>
      </c>
      <c r="AA35" s="1">
        <v>1.833</v>
      </c>
      <c r="AB35" s="1">
        <v>6</v>
      </c>
      <c r="AC35" s="1" t="s">
        <v>60</v>
      </c>
      <c r="AD35" s="1">
        <v>4.5819999999999998E-5</v>
      </c>
      <c r="AE35" s="1"/>
    </row>
    <row r="36" spans="1:31">
      <c r="A36" s="1">
        <v>31</v>
      </c>
      <c r="B36" s="2" t="s">
        <v>52</v>
      </c>
      <c r="C36" s="1">
        <v>600</v>
      </c>
      <c r="D36">
        <v>2</v>
      </c>
      <c r="E36" s="1" t="s">
        <v>8</v>
      </c>
      <c r="F36" s="1">
        <v>10.88</v>
      </c>
      <c r="G36">
        <v>3.2000000000000001E-2</v>
      </c>
      <c r="H36" s="1">
        <v>3.39</v>
      </c>
      <c r="I36" s="1">
        <v>40.4</v>
      </c>
      <c r="J36" s="1">
        <v>33.1</v>
      </c>
      <c r="K36" s="1">
        <v>0.1</v>
      </c>
      <c r="L36" s="1">
        <v>0.7</v>
      </c>
      <c r="M36" s="1">
        <f t="shared" si="0"/>
        <v>0.61448019801980203</v>
      </c>
      <c r="N36" s="1">
        <f t="shared" si="1"/>
        <v>2.1216407355021216E-3</v>
      </c>
      <c r="O36" s="1">
        <f t="shared" si="2"/>
        <v>0.61660183875530417</v>
      </c>
      <c r="P36" s="1">
        <f t="shared" si="3"/>
        <v>0.20792079207920791</v>
      </c>
      <c r="Q36">
        <f t="shared" si="4"/>
        <v>25.7</v>
      </c>
      <c r="R36" s="1">
        <v>3.08</v>
      </c>
      <c r="S36" s="1">
        <v>24</v>
      </c>
      <c r="T36" s="1">
        <v>1</v>
      </c>
      <c r="U36">
        <v>7</v>
      </c>
      <c r="V36" s="1">
        <v>20000</v>
      </c>
      <c r="W36" s="1">
        <v>75</v>
      </c>
      <c r="X36" s="1">
        <v>20</v>
      </c>
      <c r="Y36" s="1" t="s">
        <v>2</v>
      </c>
      <c r="Z36" s="1">
        <v>500.13</v>
      </c>
      <c r="AA36" s="1">
        <v>1.875</v>
      </c>
      <c r="AB36" s="1">
        <v>8</v>
      </c>
      <c r="AC36" s="1" t="s">
        <v>60</v>
      </c>
      <c r="AD36" s="1">
        <v>5.0000000000000002E-5</v>
      </c>
      <c r="AE36" s="1"/>
    </row>
    <row r="37" spans="1:31">
      <c r="A37" s="1">
        <v>32</v>
      </c>
      <c r="B37" s="2" t="s">
        <v>53</v>
      </c>
      <c r="C37" s="1">
        <v>600</v>
      </c>
      <c r="D37">
        <v>2</v>
      </c>
      <c r="E37" s="1" t="s">
        <v>8</v>
      </c>
      <c r="F37" s="1">
        <v>211.79</v>
      </c>
      <c r="G37" s="1">
        <v>0.16500000000000001</v>
      </c>
      <c r="H37" s="1">
        <v>3.71</v>
      </c>
      <c r="I37" s="1">
        <v>82.74</v>
      </c>
      <c r="J37" s="1">
        <v>16.22</v>
      </c>
      <c r="K37" s="1">
        <v>0.1</v>
      </c>
      <c r="L37" s="1">
        <v>0.7</v>
      </c>
      <c r="M37" s="1">
        <f t="shared" si="0"/>
        <v>0.14702683103698333</v>
      </c>
      <c r="N37" s="1">
        <f t="shared" si="1"/>
        <v>1.0359473738734074E-3</v>
      </c>
      <c r="O37" s="1">
        <f t="shared" si="2"/>
        <v>0.14806277841085672</v>
      </c>
      <c r="P37" s="1">
        <f t="shared" si="3"/>
        <v>0.10152284263959391</v>
      </c>
      <c r="Q37">
        <f t="shared" si="4"/>
        <v>0.24000000000000632</v>
      </c>
      <c r="R37" s="1">
        <v>0</v>
      </c>
      <c r="S37" s="1">
        <v>24</v>
      </c>
      <c r="T37" s="1">
        <v>1</v>
      </c>
      <c r="U37">
        <v>7</v>
      </c>
      <c r="V37" s="1">
        <v>20000</v>
      </c>
      <c r="W37" s="1">
        <v>75</v>
      </c>
      <c r="X37" s="1">
        <v>20</v>
      </c>
      <c r="Y37" s="1" t="s">
        <v>2</v>
      </c>
      <c r="Z37" s="1">
        <v>500.13</v>
      </c>
      <c r="AA37" s="1">
        <v>1.875</v>
      </c>
      <c r="AB37" s="1">
        <v>8</v>
      </c>
      <c r="AC37" s="1" t="s">
        <v>60</v>
      </c>
      <c r="AD37" s="1">
        <v>5.0000000000000002E-5</v>
      </c>
      <c r="AE37" s="1"/>
    </row>
    <row r="38" spans="1:31">
      <c r="A38" s="1">
        <v>33</v>
      </c>
      <c r="B38" s="2" t="s">
        <v>98</v>
      </c>
      <c r="C38" s="1">
        <v>700</v>
      </c>
      <c r="D38">
        <v>0.66600000000000004</v>
      </c>
      <c r="E38" s="1" t="s">
        <v>0</v>
      </c>
      <c r="F38">
        <v>97</v>
      </c>
      <c r="G38" s="1">
        <v>0.153</v>
      </c>
      <c r="H38" s="1">
        <v>1.75</v>
      </c>
      <c r="I38" s="1">
        <v>29.6</v>
      </c>
      <c r="J38">
        <v>57.1</v>
      </c>
      <c r="K38" s="1">
        <v>1.1299999999999999</v>
      </c>
      <c r="L38">
        <v>1.24</v>
      </c>
      <c r="M38" s="1">
        <f t="shared" si="0"/>
        <v>1.4467905405405406</v>
      </c>
      <c r="N38" s="1">
        <f t="shared" si="1"/>
        <v>3.2722007722007722E-2</v>
      </c>
      <c r="O38" s="1">
        <f t="shared" si="2"/>
        <v>1.4795125482625482</v>
      </c>
      <c r="P38" s="1">
        <f t="shared" si="3"/>
        <v>0.50270270270270268</v>
      </c>
      <c r="Q38">
        <f t="shared" si="4"/>
        <v>10.930000000000005</v>
      </c>
      <c r="R38">
        <v>2.2999999999999998</v>
      </c>
      <c r="S38" s="1">
        <v>336</v>
      </c>
      <c r="T38" s="1">
        <v>1.9530000000000001</v>
      </c>
      <c r="U38">
        <v>5.38</v>
      </c>
      <c r="V38" s="1">
        <v>2000</v>
      </c>
      <c r="W38" s="1">
        <v>160</v>
      </c>
      <c r="X38" s="1">
        <v>23</v>
      </c>
      <c r="Y38" s="1" t="s">
        <v>1</v>
      </c>
      <c r="Z38" s="1">
        <v>414.08</v>
      </c>
      <c r="AA38" s="1">
        <v>1.875</v>
      </c>
      <c r="AB38" s="1">
        <v>8</v>
      </c>
      <c r="AC38" s="1" t="s">
        <v>59</v>
      </c>
      <c r="AD38" s="1">
        <v>0.53700000000000003</v>
      </c>
      <c r="AE38" s="1"/>
    </row>
    <row r="39" spans="1:31">
      <c r="A39" s="1">
        <v>34</v>
      </c>
      <c r="B39" s="2" t="s">
        <v>99</v>
      </c>
      <c r="C39" s="1">
        <v>700</v>
      </c>
      <c r="D39">
        <v>0.33300000000000002</v>
      </c>
      <c r="E39" s="1" t="s">
        <v>0</v>
      </c>
      <c r="F39">
        <v>84</v>
      </c>
      <c r="G39" s="1">
        <v>0.13300000000000001</v>
      </c>
      <c r="H39" s="1">
        <v>1.58</v>
      </c>
      <c r="I39" s="1">
        <v>13.5</v>
      </c>
      <c r="J39">
        <v>61.4</v>
      </c>
      <c r="K39" s="1">
        <v>0.82</v>
      </c>
      <c r="L39">
        <v>1.05</v>
      </c>
      <c r="M39" s="1">
        <f t="shared" si="0"/>
        <v>3.411111111111111</v>
      </c>
      <c r="N39" s="1">
        <f t="shared" si="1"/>
        <v>5.2063492063492062E-2</v>
      </c>
      <c r="O39" s="1">
        <f t="shared" si="2"/>
        <v>3.4631746031746031</v>
      </c>
      <c r="P39" s="1">
        <f t="shared" si="3"/>
        <v>0.93333333333333335</v>
      </c>
      <c r="Q39">
        <f t="shared" si="4"/>
        <v>23.23</v>
      </c>
      <c r="R39">
        <v>18</v>
      </c>
      <c r="S39" s="1">
        <v>336</v>
      </c>
      <c r="T39" s="1">
        <v>1.9530000000000001</v>
      </c>
      <c r="U39">
        <v>5.38</v>
      </c>
      <c r="V39" s="1">
        <v>2000</v>
      </c>
      <c r="W39" s="1">
        <v>160</v>
      </c>
      <c r="X39" s="1">
        <v>23</v>
      </c>
      <c r="Y39" s="1" t="s">
        <v>1</v>
      </c>
      <c r="Z39" s="1">
        <v>414.08</v>
      </c>
      <c r="AA39" s="1">
        <v>1.875</v>
      </c>
      <c r="AB39" s="1">
        <v>8</v>
      </c>
      <c r="AC39" s="1" t="s">
        <v>59</v>
      </c>
      <c r="AD39" s="1">
        <v>0.13200000000000001</v>
      </c>
      <c r="AE39" s="1"/>
    </row>
    <row r="40" spans="1:31">
      <c r="A40" s="1">
        <v>35</v>
      </c>
      <c r="B40" s="2" t="s">
        <v>97</v>
      </c>
      <c r="C40" s="1">
        <v>700</v>
      </c>
      <c r="D40">
        <v>0.33300000000000002</v>
      </c>
      <c r="E40" s="1" t="s">
        <v>0</v>
      </c>
      <c r="F40">
        <v>261</v>
      </c>
      <c r="G40" s="1">
        <v>0.16</v>
      </c>
      <c r="H40" s="1">
        <v>0.7</v>
      </c>
      <c r="I40" s="1">
        <v>91.4</v>
      </c>
      <c r="J40">
        <v>5.5</v>
      </c>
      <c r="K40" s="1">
        <v>0.69</v>
      </c>
      <c r="L40">
        <v>1.01</v>
      </c>
      <c r="M40" s="1">
        <f t="shared" si="0"/>
        <v>4.5131291028446388E-2</v>
      </c>
      <c r="N40" s="1">
        <f t="shared" si="1"/>
        <v>6.4707721162863387E-3</v>
      </c>
      <c r="O40" s="1">
        <f t="shared" si="2"/>
        <v>5.1602063144732722E-2</v>
      </c>
      <c r="P40" s="1">
        <f t="shared" si="3"/>
        <v>0.13260393873085338</v>
      </c>
      <c r="Q40">
        <f t="shared" si="4"/>
        <v>1.3999999999999944</v>
      </c>
      <c r="R40">
        <v>1.2500000000000001E-2</v>
      </c>
      <c r="S40" s="1">
        <v>336</v>
      </c>
      <c r="T40" s="1">
        <v>1.9530000000000001</v>
      </c>
      <c r="U40">
        <v>5.38</v>
      </c>
      <c r="V40" s="1">
        <v>2000</v>
      </c>
      <c r="W40" s="1">
        <v>160</v>
      </c>
      <c r="X40" s="1">
        <v>23</v>
      </c>
      <c r="Y40" s="1" t="s">
        <v>1</v>
      </c>
      <c r="Z40" s="1">
        <v>414.08</v>
      </c>
      <c r="AA40" s="1">
        <v>1.875</v>
      </c>
      <c r="AB40" s="1">
        <v>8</v>
      </c>
      <c r="AC40" s="1" t="s">
        <v>59</v>
      </c>
      <c r="AD40" s="1">
        <v>0.115</v>
      </c>
      <c r="AE40" s="1"/>
    </row>
    <row r="41" spans="1:31">
      <c r="A41" s="1">
        <v>36</v>
      </c>
      <c r="B41" s="2" t="s">
        <v>98</v>
      </c>
      <c r="C41" s="1">
        <v>700</v>
      </c>
      <c r="D41">
        <v>0.66600000000000004</v>
      </c>
      <c r="E41" s="1" t="s">
        <v>0</v>
      </c>
      <c r="F41">
        <v>97</v>
      </c>
      <c r="G41" s="1">
        <v>0.153</v>
      </c>
      <c r="H41" s="1">
        <v>1.75</v>
      </c>
      <c r="I41" s="1">
        <v>29.6</v>
      </c>
      <c r="J41">
        <v>57.1</v>
      </c>
      <c r="K41" s="1">
        <v>1.1299999999999999</v>
      </c>
      <c r="L41">
        <v>1.24</v>
      </c>
      <c r="M41" s="1">
        <f t="shared" si="0"/>
        <v>1.4467905405405406</v>
      </c>
      <c r="N41" s="1">
        <f t="shared" si="1"/>
        <v>3.2722007722007722E-2</v>
      </c>
      <c r="O41" s="1">
        <f t="shared" si="2"/>
        <v>1.4795125482625482</v>
      </c>
      <c r="P41" s="1">
        <f t="shared" si="3"/>
        <v>0.50270270270270268</v>
      </c>
      <c r="Q41">
        <f t="shared" si="4"/>
        <v>10.930000000000005</v>
      </c>
      <c r="R41">
        <v>2.2999999999999998</v>
      </c>
      <c r="S41" s="1">
        <v>336</v>
      </c>
      <c r="T41" s="1">
        <v>1.9530000000000001</v>
      </c>
      <c r="U41">
        <v>5.38</v>
      </c>
      <c r="V41" s="1">
        <v>2000</v>
      </c>
      <c r="W41" s="1">
        <v>160</v>
      </c>
      <c r="X41" s="1">
        <v>23</v>
      </c>
      <c r="Y41" s="1" t="s">
        <v>22</v>
      </c>
      <c r="Z41" s="1">
        <v>264.05</v>
      </c>
      <c r="AA41" s="1">
        <v>1.8</v>
      </c>
      <c r="AB41" s="1">
        <v>5</v>
      </c>
      <c r="AC41" s="1" t="s">
        <v>59</v>
      </c>
      <c r="AD41" s="1">
        <v>1.26E-2</v>
      </c>
      <c r="AE41" s="1"/>
    </row>
    <row r="42" spans="1:31">
      <c r="A42" s="1">
        <v>37</v>
      </c>
      <c r="B42" s="2" t="s">
        <v>99</v>
      </c>
      <c r="C42" s="1">
        <v>700</v>
      </c>
      <c r="D42">
        <v>0.33300000000000002</v>
      </c>
      <c r="E42" s="1" t="s">
        <v>0</v>
      </c>
      <c r="F42">
        <v>84</v>
      </c>
      <c r="G42" s="1">
        <v>0.13300000000000001</v>
      </c>
      <c r="H42" s="1">
        <v>1.58</v>
      </c>
      <c r="I42" s="1">
        <v>13.5</v>
      </c>
      <c r="J42">
        <v>61.4</v>
      </c>
      <c r="K42" s="1">
        <v>0.82</v>
      </c>
      <c r="L42">
        <v>1.05</v>
      </c>
      <c r="M42" s="1">
        <f t="shared" si="0"/>
        <v>3.411111111111111</v>
      </c>
      <c r="N42" s="1">
        <f t="shared" si="1"/>
        <v>5.2063492063492062E-2</v>
      </c>
      <c r="O42" s="1">
        <f t="shared" si="2"/>
        <v>3.4631746031746031</v>
      </c>
      <c r="P42" s="1">
        <f t="shared" si="3"/>
        <v>0.93333333333333335</v>
      </c>
      <c r="Q42">
        <f t="shared" si="4"/>
        <v>23.23</v>
      </c>
      <c r="R42">
        <v>18</v>
      </c>
      <c r="S42" s="1">
        <v>336</v>
      </c>
      <c r="T42" s="1">
        <v>1.9530000000000001</v>
      </c>
      <c r="U42">
        <v>5.38</v>
      </c>
      <c r="V42" s="1">
        <v>2000</v>
      </c>
      <c r="W42" s="1">
        <v>160</v>
      </c>
      <c r="X42" s="1">
        <v>23</v>
      </c>
      <c r="Y42" s="1" t="s">
        <v>22</v>
      </c>
      <c r="Z42" s="1">
        <v>264.05</v>
      </c>
      <c r="AA42" s="1">
        <v>1.8</v>
      </c>
      <c r="AB42" s="1">
        <v>5</v>
      </c>
      <c r="AC42" s="1" t="s">
        <v>59</v>
      </c>
      <c r="AD42" s="1">
        <v>7.1999999999999998E-3</v>
      </c>
      <c r="AE42" s="1"/>
    </row>
    <row r="43" spans="1:31">
      <c r="A43" s="1">
        <v>38</v>
      </c>
      <c r="B43" s="2" t="s">
        <v>97</v>
      </c>
      <c r="C43" s="1">
        <v>700</v>
      </c>
      <c r="D43">
        <v>0.33300000000000002</v>
      </c>
      <c r="E43" s="1" t="s">
        <v>0</v>
      </c>
      <c r="F43">
        <v>261</v>
      </c>
      <c r="G43" s="1">
        <v>0.16</v>
      </c>
      <c r="H43" s="1">
        <v>0.7</v>
      </c>
      <c r="I43" s="1">
        <v>91.4</v>
      </c>
      <c r="J43">
        <v>5.5</v>
      </c>
      <c r="K43" s="1">
        <v>0.69</v>
      </c>
      <c r="L43">
        <v>1.01</v>
      </c>
      <c r="M43" s="1">
        <f t="shared" si="0"/>
        <v>4.5131291028446388E-2</v>
      </c>
      <c r="N43" s="1">
        <f t="shared" si="1"/>
        <v>6.4707721162863387E-3</v>
      </c>
      <c r="O43" s="1">
        <f t="shared" si="2"/>
        <v>5.1602063144732722E-2</v>
      </c>
      <c r="P43" s="1">
        <f t="shared" si="3"/>
        <v>0.13260393873085338</v>
      </c>
      <c r="Q43">
        <f t="shared" si="4"/>
        <v>1.3999999999999944</v>
      </c>
      <c r="R43">
        <v>1.2500000000000001E-2</v>
      </c>
      <c r="S43" s="1">
        <v>336</v>
      </c>
      <c r="T43" s="1">
        <v>1.9530000000000001</v>
      </c>
      <c r="U43">
        <v>5.38</v>
      </c>
      <c r="V43" s="1">
        <v>2000</v>
      </c>
      <c r="W43" s="1">
        <v>160</v>
      </c>
      <c r="X43" s="1">
        <v>23</v>
      </c>
      <c r="Y43" s="1" t="s">
        <v>22</v>
      </c>
      <c r="Z43" s="1">
        <v>264.05</v>
      </c>
      <c r="AA43" s="1">
        <v>1.8</v>
      </c>
      <c r="AB43" s="1">
        <v>5</v>
      </c>
      <c r="AC43" s="1" t="s">
        <v>59</v>
      </c>
      <c r="AD43" s="1">
        <v>4.1999999999999997E-3</v>
      </c>
      <c r="AE43" s="1"/>
    </row>
    <row r="44" spans="1:31">
      <c r="A44" s="1">
        <v>39</v>
      </c>
      <c r="B44" s="2" t="s">
        <v>98</v>
      </c>
      <c r="C44" s="1">
        <v>700</v>
      </c>
      <c r="D44">
        <v>0.66600000000000004</v>
      </c>
      <c r="E44" s="1" t="s">
        <v>0</v>
      </c>
      <c r="F44">
        <v>97</v>
      </c>
      <c r="G44" s="1">
        <v>0.153</v>
      </c>
      <c r="H44" s="1">
        <v>1.75</v>
      </c>
      <c r="I44" s="1">
        <v>29.6</v>
      </c>
      <c r="J44">
        <v>57.1</v>
      </c>
      <c r="K44" s="1">
        <v>1.1299999999999999</v>
      </c>
      <c r="L44">
        <v>1.24</v>
      </c>
      <c r="M44" s="1">
        <f t="shared" si="0"/>
        <v>1.4467905405405406</v>
      </c>
      <c r="N44" s="1">
        <f t="shared" si="1"/>
        <v>3.2722007722007722E-2</v>
      </c>
      <c r="O44" s="1">
        <f t="shared" si="2"/>
        <v>1.4795125482625482</v>
      </c>
      <c r="P44" s="1">
        <f t="shared" si="3"/>
        <v>0.50270270270270268</v>
      </c>
      <c r="Q44">
        <f t="shared" si="4"/>
        <v>10.930000000000005</v>
      </c>
      <c r="R44">
        <v>2.2999999999999998</v>
      </c>
      <c r="S44" s="1">
        <v>336</v>
      </c>
      <c r="T44" s="1">
        <v>1.9530000000000001</v>
      </c>
      <c r="U44">
        <v>5.38</v>
      </c>
      <c r="V44" s="1">
        <v>2000</v>
      </c>
      <c r="W44" s="1">
        <v>160</v>
      </c>
      <c r="X44" s="1">
        <v>23</v>
      </c>
      <c r="Y44" s="1" t="s">
        <v>14</v>
      </c>
      <c r="Z44" s="1">
        <v>314.05399999999997</v>
      </c>
      <c r="AA44" s="1">
        <v>1.833</v>
      </c>
      <c r="AB44" s="1">
        <v>6</v>
      </c>
      <c r="AC44" s="1" t="s">
        <v>59</v>
      </c>
      <c r="AD44" s="1">
        <v>6.3100000000000003E-2</v>
      </c>
      <c r="AE44" s="1"/>
    </row>
    <row r="45" spans="1:31">
      <c r="A45" s="1">
        <v>40</v>
      </c>
      <c r="B45" s="2" t="s">
        <v>99</v>
      </c>
      <c r="C45" s="1">
        <v>700</v>
      </c>
      <c r="D45">
        <v>0.33300000000000002</v>
      </c>
      <c r="E45" s="1" t="s">
        <v>0</v>
      </c>
      <c r="F45">
        <v>84</v>
      </c>
      <c r="G45" s="1">
        <v>0.13300000000000001</v>
      </c>
      <c r="H45" s="1">
        <v>1.58</v>
      </c>
      <c r="I45" s="1">
        <v>13.5</v>
      </c>
      <c r="J45">
        <v>61.4</v>
      </c>
      <c r="K45" s="1">
        <v>0.82</v>
      </c>
      <c r="L45">
        <v>1.05</v>
      </c>
      <c r="M45" s="1">
        <f t="shared" si="0"/>
        <v>3.411111111111111</v>
      </c>
      <c r="N45" s="1">
        <f t="shared" si="1"/>
        <v>5.2063492063492062E-2</v>
      </c>
      <c r="O45" s="1">
        <f t="shared" si="2"/>
        <v>3.4631746031746031</v>
      </c>
      <c r="P45" s="1">
        <f t="shared" si="3"/>
        <v>0.93333333333333335</v>
      </c>
      <c r="Q45">
        <f t="shared" si="4"/>
        <v>23.23</v>
      </c>
      <c r="R45">
        <v>18</v>
      </c>
      <c r="S45" s="1">
        <v>336</v>
      </c>
      <c r="T45" s="1">
        <v>1.9530000000000001</v>
      </c>
      <c r="U45">
        <v>5.38</v>
      </c>
      <c r="V45" s="1">
        <v>2000</v>
      </c>
      <c r="W45" s="1">
        <v>160</v>
      </c>
      <c r="X45" s="1">
        <v>23</v>
      </c>
      <c r="Y45" s="1" t="s">
        <v>14</v>
      </c>
      <c r="Z45" s="1">
        <v>314.05399999999997</v>
      </c>
      <c r="AA45" s="1">
        <v>1.833</v>
      </c>
      <c r="AB45" s="1">
        <v>6</v>
      </c>
      <c r="AC45" s="1" t="s">
        <v>59</v>
      </c>
      <c r="AD45" s="1">
        <v>4.6800000000000001E-2</v>
      </c>
      <c r="AE45" s="1"/>
    </row>
    <row r="46" spans="1:31">
      <c r="A46" s="1">
        <v>41</v>
      </c>
      <c r="B46" s="2" t="s">
        <v>97</v>
      </c>
      <c r="C46" s="1">
        <v>700</v>
      </c>
      <c r="D46">
        <v>0.33300000000000002</v>
      </c>
      <c r="E46" s="1" t="s">
        <v>0</v>
      </c>
      <c r="F46">
        <v>261</v>
      </c>
      <c r="G46" s="1">
        <v>0.16</v>
      </c>
      <c r="H46" s="1">
        <v>0.7</v>
      </c>
      <c r="I46" s="1">
        <v>91.4</v>
      </c>
      <c r="J46">
        <v>5.5</v>
      </c>
      <c r="K46" s="1">
        <v>0.69</v>
      </c>
      <c r="L46">
        <v>1.01</v>
      </c>
      <c r="M46" s="1">
        <f t="shared" si="0"/>
        <v>4.5131291028446388E-2</v>
      </c>
      <c r="N46" s="1">
        <f t="shared" si="1"/>
        <v>6.4707721162863387E-3</v>
      </c>
      <c r="O46" s="1">
        <f t="shared" si="2"/>
        <v>5.1602063144732722E-2</v>
      </c>
      <c r="P46" s="1">
        <f t="shared" si="3"/>
        <v>0.13260393873085338</v>
      </c>
      <c r="Q46">
        <f t="shared" si="4"/>
        <v>1.3999999999999944</v>
      </c>
      <c r="R46">
        <v>1.2500000000000001E-2</v>
      </c>
      <c r="S46" s="1">
        <v>336</v>
      </c>
      <c r="T46" s="1">
        <v>1.9530000000000001</v>
      </c>
      <c r="U46">
        <v>5.38</v>
      </c>
      <c r="V46" s="1">
        <v>2000</v>
      </c>
      <c r="W46" s="1">
        <v>160</v>
      </c>
      <c r="X46" s="1">
        <v>23</v>
      </c>
      <c r="Y46" s="1" t="s">
        <v>14</v>
      </c>
      <c r="Z46" s="1">
        <v>314.05399999999997</v>
      </c>
      <c r="AA46" s="1">
        <v>1.833</v>
      </c>
      <c r="AB46" s="1">
        <v>6</v>
      </c>
      <c r="AC46" s="1" t="s">
        <v>59</v>
      </c>
      <c r="AD46" s="1">
        <v>2.76E-2</v>
      </c>
      <c r="AE46" s="1"/>
    </row>
    <row r="47" spans="1:31">
      <c r="A47" s="1">
        <v>42</v>
      </c>
      <c r="B47" s="2" t="s">
        <v>98</v>
      </c>
      <c r="C47" s="1">
        <v>700</v>
      </c>
      <c r="D47">
        <v>0.66600000000000004</v>
      </c>
      <c r="E47" s="1" t="s">
        <v>0</v>
      </c>
      <c r="F47">
        <v>97</v>
      </c>
      <c r="G47" s="1">
        <v>0.153</v>
      </c>
      <c r="H47" s="1">
        <v>1.75</v>
      </c>
      <c r="I47" s="1">
        <v>29.6</v>
      </c>
      <c r="J47">
        <v>57.1</v>
      </c>
      <c r="K47" s="1">
        <v>1.1299999999999999</v>
      </c>
      <c r="L47">
        <v>1.24</v>
      </c>
      <c r="M47" s="1">
        <f t="shared" si="0"/>
        <v>1.4467905405405406</v>
      </c>
      <c r="N47" s="1">
        <f t="shared" si="1"/>
        <v>3.2722007722007722E-2</v>
      </c>
      <c r="O47" s="1">
        <f t="shared" si="2"/>
        <v>1.4795125482625482</v>
      </c>
      <c r="P47" s="1">
        <f t="shared" si="3"/>
        <v>0.50270270270270268</v>
      </c>
      <c r="Q47">
        <f t="shared" si="4"/>
        <v>10.930000000000005</v>
      </c>
      <c r="R47">
        <v>2.2999999999999998</v>
      </c>
      <c r="S47" s="1">
        <v>336</v>
      </c>
      <c r="T47" s="1">
        <v>1.9530000000000001</v>
      </c>
      <c r="U47">
        <v>5.38</v>
      </c>
      <c r="V47" s="1">
        <v>2000</v>
      </c>
      <c r="W47" s="1">
        <v>160</v>
      </c>
      <c r="X47" s="1">
        <v>23</v>
      </c>
      <c r="Y47" s="1" t="s">
        <v>49</v>
      </c>
      <c r="Z47" s="1">
        <v>364.06</v>
      </c>
      <c r="AA47" s="1">
        <v>1.857</v>
      </c>
      <c r="AB47" s="1">
        <v>7</v>
      </c>
      <c r="AC47" s="1" t="s">
        <v>59</v>
      </c>
      <c r="AD47" s="1">
        <v>0.95499999999999996</v>
      </c>
      <c r="AE47" s="1"/>
    </row>
    <row r="48" spans="1:31">
      <c r="A48" s="1">
        <v>43</v>
      </c>
      <c r="B48" s="2" t="s">
        <v>99</v>
      </c>
      <c r="C48" s="1">
        <v>700</v>
      </c>
      <c r="D48">
        <v>0.33300000000000002</v>
      </c>
      <c r="E48" s="1" t="s">
        <v>0</v>
      </c>
      <c r="F48">
        <v>84</v>
      </c>
      <c r="G48" s="1">
        <v>0.13300000000000001</v>
      </c>
      <c r="H48" s="1">
        <v>1.58</v>
      </c>
      <c r="I48" s="1">
        <v>13.5</v>
      </c>
      <c r="J48">
        <v>61.4</v>
      </c>
      <c r="K48" s="1">
        <v>0.82</v>
      </c>
      <c r="L48">
        <v>1.05</v>
      </c>
      <c r="M48" s="1">
        <f t="shared" si="0"/>
        <v>3.411111111111111</v>
      </c>
      <c r="N48" s="1">
        <f t="shared" si="1"/>
        <v>5.2063492063492062E-2</v>
      </c>
      <c r="O48" s="1">
        <f t="shared" si="2"/>
        <v>3.4631746031746031</v>
      </c>
      <c r="P48" s="1">
        <f t="shared" si="3"/>
        <v>0.93333333333333335</v>
      </c>
      <c r="Q48">
        <f t="shared" si="4"/>
        <v>23.23</v>
      </c>
      <c r="R48">
        <v>18</v>
      </c>
      <c r="S48" s="1">
        <v>336</v>
      </c>
      <c r="T48" s="1">
        <v>1.9530000000000001</v>
      </c>
      <c r="U48">
        <v>5.38</v>
      </c>
      <c r="V48" s="1">
        <v>2000</v>
      </c>
      <c r="W48" s="1">
        <v>160</v>
      </c>
      <c r="X48" s="1">
        <v>23</v>
      </c>
      <c r="Y48" s="1" t="s">
        <v>49</v>
      </c>
      <c r="Z48" s="1">
        <v>364.06</v>
      </c>
      <c r="AA48" s="1">
        <v>1.857</v>
      </c>
      <c r="AB48" s="1">
        <v>7</v>
      </c>
      <c r="AC48" s="1" t="s">
        <v>59</v>
      </c>
      <c r="AD48" s="1">
        <v>4.6800000000000001E-2</v>
      </c>
      <c r="AE48" s="1"/>
    </row>
    <row r="49" spans="1:31">
      <c r="A49" s="1">
        <v>44</v>
      </c>
      <c r="B49" s="2" t="s">
        <v>97</v>
      </c>
      <c r="C49" s="1">
        <v>700</v>
      </c>
      <c r="D49">
        <v>0.33300000000000002</v>
      </c>
      <c r="E49" s="1" t="s">
        <v>0</v>
      </c>
      <c r="F49">
        <v>261</v>
      </c>
      <c r="G49" s="1">
        <v>0.16</v>
      </c>
      <c r="H49" s="1">
        <v>0.7</v>
      </c>
      <c r="I49" s="1">
        <v>91.4</v>
      </c>
      <c r="J49">
        <v>5.5</v>
      </c>
      <c r="K49" s="1">
        <v>0.69</v>
      </c>
      <c r="L49">
        <v>1.01</v>
      </c>
      <c r="M49" s="1">
        <f t="shared" si="0"/>
        <v>4.5131291028446388E-2</v>
      </c>
      <c r="N49" s="1">
        <f t="shared" si="1"/>
        <v>6.4707721162863387E-3</v>
      </c>
      <c r="O49" s="1">
        <f t="shared" si="2"/>
        <v>5.1602063144732722E-2</v>
      </c>
      <c r="P49" s="1">
        <f t="shared" si="3"/>
        <v>0.13260393873085338</v>
      </c>
      <c r="Q49">
        <f t="shared" si="4"/>
        <v>1.3999999999999944</v>
      </c>
      <c r="R49">
        <v>1.2500000000000001E-2</v>
      </c>
      <c r="S49" s="1">
        <v>336</v>
      </c>
      <c r="T49" s="1">
        <v>1.9530000000000001</v>
      </c>
      <c r="U49">
        <v>5.38</v>
      </c>
      <c r="V49" s="1">
        <v>2000</v>
      </c>
      <c r="W49" s="1">
        <v>160</v>
      </c>
      <c r="X49" s="1">
        <v>23</v>
      </c>
      <c r="Y49" s="1" t="s">
        <v>49</v>
      </c>
      <c r="Z49" s="1">
        <v>364.06</v>
      </c>
      <c r="AA49" s="1">
        <v>1.857</v>
      </c>
      <c r="AB49" s="1">
        <v>7</v>
      </c>
      <c r="AC49" s="1" t="s">
        <v>59</v>
      </c>
      <c r="AD49" s="1">
        <v>2.75E-2</v>
      </c>
      <c r="AE49" s="1"/>
    </row>
    <row r="50" spans="1:31">
      <c r="A50" s="1">
        <v>45</v>
      </c>
      <c r="B50" s="2" t="s">
        <v>98</v>
      </c>
      <c r="C50" s="1">
        <v>700</v>
      </c>
      <c r="D50">
        <v>0.66600000000000004</v>
      </c>
      <c r="E50" s="1" t="s">
        <v>0</v>
      </c>
      <c r="F50">
        <v>97</v>
      </c>
      <c r="G50" s="1">
        <v>0.153</v>
      </c>
      <c r="H50" s="1">
        <v>1.75</v>
      </c>
      <c r="I50" s="1">
        <v>29.6</v>
      </c>
      <c r="J50">
        <v>57.1</v>
      </c>
      <c r="K50" s="1">
        <v>1.1299999999999999</v>
      </c>
      <c r="L50">
        <v>1.24</v>
      </c>
      <c r="M50" s="1">
        <f t="shared" si="0"/>
        <v>1.4467905405405406</v>
      </c>
      <c r="N50" s="1">
        <f t="shared" si="1"/>
        <v>3.2722007722007722E-2</v>
      </c>
      <c r="O50" s="1">
        <f t="shared" si="2"/>
        <v>1.4795125482625482</v>
      </c>
      <c r="P50" s="1">
        <f t="shared" si="3"/>
        <v>0.50270270270270268</v>
      </c>
      <c r="Q50">
        <f t="shared" si="4"/>
        <v>10.930000000000005</v>
      </c>
      <c r="R50">
        <v>2.2999999999999998</v>
      </c>
      <c r="S50" s="1">
        <v>336</v>
      </c>
      <c r="T50" s="1">
        <v>1.9530000000000001</v>
      </c>
      <c r="U50">
        <v>5.38</v>
      </c>
      <c r="V50" s="1">
        <v>2000</v>
      </c>
      <c r="W50" s="1">
        <v>160</v>
      </c>
      <c r="X50" s="1">
        <v>23</v>
      </c>
      <c r="Y50" s="1" t="s">
        <v>17</v>
      </c>
      <c r="Z50" s="1">
        <v>464.1</v>
      </c>
      <c r="AA50" s="1">
        <v>1.889</v>
      </c>
      <c r="AB50" s="1">
        <v>9</v>
      </c>
      <c r="AC50" s="1" t="s">
        <v>59</v>
      </c>
      <c r="AD50" s="1">
        <v>0.77600000000000002</v>
      </c>
      <c r="AE50" s="1"/>
    </row>
    <row r="51" spans="1:31">
      <c r="A51" s="1">
        <v>46</v>
      </c>
      <c r="B51" s="2" t="s">
        <v>99</v>
      </c>
      <c r="C51" s="1">
        <v>700</v>
      </c>
      <c r="D51">
        <v>0.33300000000000002</v>
      </c>
      <c r="E51" s="1" t="s">
        <v>0</v>
      </c>
      <c r="F51">
        <v>84</v>
      </c>
      <c r="G51" s="1">
        <v>0.13300000000000001</v>
      </c>
      <c r="H51" s="1">
        <v>1.58</v>
      </c>
      <c r="I51" s="1">
        <v>13.5</v>
      </c>
      <c r="J51">
        <v>61.4</v>
      </c>
      <c r="K51" s="1">
        <v>0.82</v>
      </c>
      <c r="L51">
        <v>1.05</v>
      </c>
      <c r="M51" s="1">
        <f t="shared" si="0"/>
        <v>3.411111111111111</v>
      </c>
      <c r="N51" s="1">
        <f t="shared" si="1"/>
        <v>5.2063492063492062E-2</v>
      </c>
      <c r="O51" s="1">
        <f t="shared" si="2"/>
        <v>3.4631746031746031</v>
      </c>
      <c r="P51" s="1">
        <f t="shared" si="3"/>
        <v>0.93333333333333335</v>
      </c>
      <c r="Q51">
        <f t="shared" si="4"/>
        <v>23.23</v>
      </c>
      <c r="R51">
        <v>18</v>
      </c>
      <c r="S51" s="1">
        <v>336</v>
      </c>
      <c r="T51" s="1">
        <v>1.9530000000000001</v>
      </c>
      <c r="U51">
        <v>5.38</v>
      </c>
      <c r="V51" s="1">
        <v>2000</v>
      </c>
      <c r="W51" s="1">
        <v>160</v>
      </c>
      <c r="X51" s="1">
        <v>23</v>
      </c>
      <c r="Y51" s="1" t="s">
        <v>17</v>
      </c>
      <c r="Z51" s="1">
        <v>464.1</v>
      </c>
      <c r="AA51" s="1">
        <v>1.889</v>
      </c>
      <c r="AB51" s="1">
        <v>9</v>
      </c>
      <c r="AC51" s="1" t="s">
        <v>59</v>
      </c>
      <c r="AD51" s="1">
        <v>0.214</v>
      </c>
      <c r="AE51" s="1"/>
    </row>
    <row r="52" spans="1:31">
      <c r="A52" s="1">
        <v>47</v>
      </c>
      <c r="B52" s="2" t="s">
        <v>97</v>
      </c>
      <c r="C52" s="1">
        <v>700</v>
      </c>
      <c r="D52">
        <v>0.33300000000000002</v>
      </c>
      <c r="E52" s="1" t="s">
        <v>0</v>
      </c>
      <c r="F52">
        <v>261</v>
      </c>
      <c r="G52" s="1">
        <v>0.16</v>
      </c>
      <c r="H52" s="1">
        <v>0.7</v>
      </c>
      <c r="I52" s="1">
        <v>91.4</v>
      </c>
      <c r="J52">
        <v>5.5</v>
      </c>
      <c r="K52" s="1">
        <v>0.69</v>
      </c>
      <c r="L52">
        <v>1.01</v>
      </c>
      <c r="M52" s="1">
        <f t="shared" si="0"/>
        <v>4.5131291028446388E-2</v>
      </c>
      <c r="N52" s="1">
        <f t="shared" si="1"/>
        <v>6.4707721162863387E-3</v>
      </c>
      <c r="O52" s="1">
        <f t="shared" si="2"/>
        <v>5.1602063144732722E-2</v>
      </c>
      <c r="P52" s="1">
        <f t="shared" si="3"/>
        <v>0.13260393873085338</v>
      </c>
      <c r="Q52">
        <f t="shared" si="4"/>
        <v>1.3999999999999944</v>
      </c>
      <c r="R52">
        <v>1.2500000000000001E-2</v>
      </c>
      <c r="S52" s="1">
        <v>336</v>
      </c>
      <c r="T52" s="1">
        <v>1.9530000000000001</v>
      </c>
      <c r="U52">
        <v>5.38</v>
      </c>
      <c r="V52" s="1">
        <v>2000</v>
      </c>
      <c r="W52" s="1">
        <v>160</v>
      </c>
      <c r="X52" s="1">
        <v>23</v>
      </c>
      <c r="Y52" s="1" t="s">
        <v>17</v>
      </c>
      <c r="Z52" s="1">
        <v>464.1</v>
      </c>
      <c r="AA52" s="1">
        <v>1.889</v>
      </c>
      <c r="AB52" s="1">
        <v>9</v>
      </c>
      <c r="AC52" s="1" t="s">
        <v>59</v>
      </c>
      <c r="AD52" s="1">
        <v>7.5899999999999995E-2</v>
      </c>
      <c r="AE52" s="1"/>
    </row>
    <row r="53" spans="1:31">
      <c r="A53" s="1">
        <v>48</v>
      </c>
      <c r="B53" s="2" t="s">
        <v>98</v>
      </c>
      <c r="C53" s="1">
        <v>700</v>
      </c>
      <c r="D53">
        <v>0.66600000000000004</v>
      </c>
      <c r="E53" s="1" t="s">
        <v>0</v>
      </c>
      <c r="F53">
        <v>97</v>
      </c>
      <c r="G53" s="1">
        <v>0.153</v>
      </c>
      <c r="H53" s="1">
        <v>1.75</v>
      </c>
      <c r="I53" s="1">
        <v>29.6</v>
      </c>
      <c r="J53">
        <v>57.1</v>
      </c>
      <c r="K53" s="1">
        <v>1.1299999999999999</v>
      </c>
      <c r="L53">
        <v>1.24</v>
      </c>
      <c r="M53" s="1">
        <f t="shared" si="0"/>
        <v>1.4467905405405406</v>
      </c>
      <c r="N53" s="1">
        <f t="shared" si="1"/>
        <v>3.2722007722007722E-2</v>
      </c>
      <c r="O53" s="1">
        <f t="shared" si="2"/>
        <v>1.4795125482625482</v>
      </c>
      <c r="P53" s="1">
        <f t="shared" si="3"/>
        <v>0.50270270270270268</v>
      </c>
      <c r="Q53">
        <f t="shared" si="4"/>
        <v>10.930000000000005</v>
      </c>
      <c r="R53">
        <v>2.2999999999999998</v>
      </c>
      <c r="S53" s="1">
        <v>336</v>
      </c>
      <c r="T53" s="1">
        <v>1.9530000000000001</v>
      </c>
      <c r="U53">
        <v>5.38</v>
      </c>
      <c r="V53" s="1">
        <v>2000</v>
      </c>
      <c r="W53" s="1">
        <v>160</v>
      </c>
      <c r="X53" s="1">
        <v>23</v>
      </c>
      <c r="Y53" s="1" t="s">
        <v>50</v>
      </c>
      <c r="Z53" s="1">
        <v>514.1</v>
      </c>
      <c r="AA53" s="1">
        <v>1.9</v>
      </c>
      <c r="AB53" s="1">
        <v>10</v>
      </c>
      <c r="AC53" s="1" t="s">
        <v>59</v>
      </c>
      <c r="AD53" s="1">
        <v>1</v>
      </c>
      <c r="AE53" s="1"/>
    </row>
    <row r="54" spans="1:31">
      <c r="A54" s="1">
        <v>49</v>
      </c>
      <c r="B54" s="2" t="s">
        <v>99</v>
      </c>
      <c r="C54" s="1">
        <v>700</v>
      </c>
      <c r="D54">
        <v>0.33300000000000002</v>
      </c>
      <c r="E54" s="1" t="s">
        <v>0</v>
      </c>
      <c r="F54">
        <v>84</v>
      </c>
      <c r="G54" s="1">
        <v>0.13300000000000001</v>
      </c>
      <c r="H54" s="1">
        <v>1.58</v>
      </c>
      <c r="I54" s="1">
        <v>13.5</v>
      </c>
      <c r="J54">
        <v>61.4</v>
      </c>
      <c r="K54" s="1">
        <v>0.82</v>
      </c>
      <c r="L54">
        <v>1.05</v>
      </c>
      <c r="M54" s="1">
        <f t="shared" si="0"/>
        <v>3.411111111111111</v>
      </c>
      <c r="N54" s="1">
        <f t="shared" si="1"/>
        <v>5.2063492063492062E-2</v>
      </c>
      <c r="O54" s="1">
        <f t="shared" si="2"/>
        <v>3.4631746031746031</v>
      </c>
      <c r="P54" s="1">
        <f t="shared" si="3"/>
        <v>0.93333333333333335</v>
      </c>
      <c r="Q54">
        <f t="shared" si="4"/>
        <v>23.23</v>
      </c>
      <c r="R54">
        <v>18</v>
      </c>
      <c r="S54" s="1">
        <v>336</v>
      </c>
      <c r="T54" s="1">
        <v>1.9530000000000001</v>
      </c>
      <c r="U54">
        <v>5.38</v>
      </c>
      <c r="V54" s="1">
        <v>2000</v>
      </c>
      <c r="W54" s="1">
        <v>160</v>
      </c>
      <c r="X54" s="1">
        <v>23</v>
      </c>
      <c r="Y54" s="1" t="s">
        <v>50</v>
      </c>
      <c r="Z54" s="1">
        <v>514.1</v>
      </c>
      <c r="AA54" s="1">
        <v>1.9</v>
      </c>
      <c r="AB54" s="1">
        <v>10</v>
      </c>
      <c r="AC54" s="1" t="s">
        <v>59</v>
      </c>
      <c r="AD54" s="1">
        <v>0.40699999999999997</v>
      </c>
      <c r="AE54" s="1"/>
    </row>
    <row r="55" spans="1:31">
      <c r="A55" s="1">
        <v>50</v>
      </c>
      <c r="B55" s="2" t="s">
        <v>97</v>
      </c>
      <c r="C55" s="1">
        <v>700</v>
      </c>
      <c r="D55">
        <v>0.33300000000000002</v>
      </c>
      <c r="E55" s="1" t="s">
        <v>0</v>
      </c>
      <c r="F55">
        <v>261</v>
      </c>
      <c r="G55" s="1">
        <v>0.16</v>
      </c>
      <c r="H55" s="1">
        <v>0.7</v>
      </c>
      <c r="I55" s="1">
        <v>91.4</v>
      </c>
      <c r="J55">
        <v>5.5</v>
      </c>
      <c r="K55" s="1">
        <v>0.69</v>
      </c>
      <c r="L55">
        <v>1.01</v>
      </c>
      <c r="M55" s="1">
        <f t="shared" si="0"/>
        <v>4.5131291028446388E-2</v>
      </c>
      <c r="N55" s="1">
        <f t="shared" si="1"/>
        <v>6.4707721162863387E-3</v>
      </c>
      <c r="O55" s="1">
        <f t="shared" si="2"/>
        <v>5.1602063144732722E-2</v>
      </c>
      <c r="P55" s="1">
        <f t="shared" si="3"/>
        <v>0.13260393873085338</v>
      </c>
      <c r="Q55">
        <f t="shared" si="4"/>
        <v>1.3999999999999944</v>
      </c>
      <c r="R55">
        <v>1.2500000000000001E-2</v>
      </c>
      <c r="S55" s="1">
        <v>336</v>
      </c>
      <c r="T55" s="1">
        <v>1.9530000000000001</v>
      </c>
      <c r="U55">
        <v>5.38</v>
      </c>
      <c r="V55" s="1">
        <v>2000</v>
      </c>
      <c r="W55" s="1">
        <v>160</v>
      </c>
      <c r="X55" s="1">
        <v>23</v>
      </c>
      <c r="Y55" s="1" t="s">
        <v>50</v>
      </c>
      <c r="Z55" s="1">
        <v>514.1</v>
      </c>
      <c r="AA55" s="1">
        <v>1.9</v>
      </c>
      <c r="AB55" s="1">
        <v>10</v>
      </c>
      <c r="AC55" s="1" t="s">
        <v>59</v>
      </c>
      <c r="AD55" s="1">
        <v>0.16600000000000001</v>
      </c>
      <c r="AE55" s="1"/>
    </row>
    <row r="56" spans="1:31">
      <c r="A56" s="1">
        <v>51</v>
      </c>
      <c r="B56" s="2" t="s">
        <v>100</v>
      </c>
      <c r="C56" s="1">
        <v>900</v>
      </c>
      <c r="D56">
        <v>3</v>
      </c>
      <c r="E56" s="1" t="s">
        <v>10</v>
      </c>
      <c r="F56">
        <v>1322</v>
      </c>
      <c r="G56" s="1">
        <v>1.32</v>
      </c>
      <c r="H56" s="1">
        <v>1</v>
      </c>
      <c r="I56" s="1">
        <v>94</v>
      </c>
      <c r="J56">
        <v>4.51</v>
      </c>
      <c r="K56" s="1">
        <v>0.1</v>
      </c>
      <c r="L56" s="1">
        <v>0.5</v>
      </c>
      <c r="M56" s="1">
        <f t="shared" si="0"/>
        <v>3.5984042553191486E-2</v>
      </c>
      <c r="N56" s="1">
        <f t="shared" si="1"/>
        <v>9.1185410334346522E-4</v>
      </c>
      <c r="O56" s="1">
        <f t="shared" si="2"/>
        <v>3.6895896656534949E-2</v>
      </c>
      <c r="P56" s="1">
        <f t="shared" si="3"/>
        <v>6.3829787234042562E-2</v>
      </c>
      <c r="Q56">
        <f t="shared" si="4"/>
        <v>0.89000000000000012</v>
      </c>
      <c r="R56" s="1">
        <v>0</v>
      </c>
      <c r="S56" s="1">
        <v>1</v>
      </c>
      <c r="T56">
        <v>100</v>
      </c>
      <c r="U56">
        <v>10</v>
      </c>
      <c r="V56" s="1">
        <v>200</v>
      </c>
      <c r="W56" s="1">
        <v>200</v>
      </c>
      <c r="X56" s="1">
        <v>25</v>
      </c>
      <c r="Y56" s="1" t="s">
        <v>1</v>
      </c>
      <c r="Z56" s="1">
        <v>414.08</v>
      </c>
      <c r="AA56" s="1">
        <v>1.875</v>
      </c>
      <c r="AB56" s="1">
        <v>8</v>
      </c>
      <c r="AC56" s="1" t="s">
        <v>59</v>
      </c>
      <c r="AD56" s="1">
        <v>1269</v>
      </c>
      <c r="AE56" s="1"/>
    </row>
    <row r="57" spans="1:31">
      <c r="A57" s="1">
        <v>52</v>
      </c>
      <c r="B57" s="2" t="s">
        <v>98</v>
      </c>
      <c r="C57" s="1">
        <v>300</v>
      </c>
      <c r="D57">
        <v>1</v>
      </c>
      <c r="E57" s="1" t="s">
        <v>11</v>
      </c>
      <c r="F57">
        <v>3.6259999999999999</v>
      </c>
      <c r="G57" s="1">
        <v>1.2E-2</v>
      </c>
      <c r="H57">
        <v>22.59</v>
      </c>
      <c r="I57" s="1">
        <v>48.73</v>
      </c>
      <c r="J57">
        <v>13.87</v>
      </c>
      <c r="K57" s="1">
        <v>7.92</v>
      </c>
      <c r="L57">
        <v>4.72</v>
      </c>
      <c r="M57" s="1">
        <f t="shared" si="0"/>
        <v>0.21347219372050072</v>
      </c>
      <c r="N57" s="1">
        <f t="shared" si="1"/>
        <v>0.13930990003224766</v>
      </c>
      <c r="O57" s="1">
        <f t="shared" si="2"/>
        <v>0.35278209375274838</v>
      </c>
      <c r="P57" s="1">
        <f t="shared" si="3"/>
        <v>1.1623230043094603</v>
      </c>
      <c r="Q57">
        <f t="shared" si="4"/>
        <v>24.760000000000005</v>
      </c>
      <c r="R57">
        <v>0</v>
      </c>
      <c r="S57" s="1">
        <v>48</v>
      </c>
      <c r="T57">
        <v>100</v>
      </c>
      <c r="U57">
        <v>7</v>
      </c>
      <c r="V57" s="1">
        <v>1000</v>
      </c>
      <c r="W57" s="1">
        <v>150</v>
      </c>
      <c r="X57" s="1">
        <v>25</v>
      </c>
      <c r="Y57" s="1" t="s">
        <v>1</v>
      </c>
      <c r="Z57" s="1">
        <v>414.08</v>
      </c>
      <c r="AA57" s="1">
        <v>1.875</v>
      </c>
      <c r="AB57" s="1">
        <v>8</v>
      </c>
      <c r="AC57" s="1" t="s">
        <v>59</v>
      </c>
      <c r="AD57" s="1">
        <v>45.88</v>
      </c>
      <c r="AE57" s="1"/>
    </row>
    <row r="58" spans="1:31">
      <c r="A58" s="1">
        <v>53</v>
      </c>
      <c r="B58" s="2" t="s">
        <v>98</v>
      </c>
      <c r="C58" s="1">
        <v>300</v>
      </c>
      <c r="D58">
        <v>1</v>
      </c>
      <c r="E58" s="1" t="s">
        <v>3</v>
      </c>
      <c r="F58">
        <v>3.6259999999999999</v>
      </c>
      <c r="G58" s="1">
        <v>1.2E-2</v>
      </c>
      <c r="H58">
        <v>22.59</v>
      </c>
      <c r="I58" s="1">
        <v>48.73</v>
      </c>
      <c r="J58">
        <v>13.87</v>
      </c>
      <c r="K58" s="1">
        <v>7.92</v>
      </c>
      <c r="L58">
        <v>4.72</v>
      </c>
      <c r="M58" s="1">
        <f t="shared" si="0"/>
        <v>0.21347219372050072</v>
      </c>
      <c r="N58" s="1">
        <f t="shared" si="1"/>
        <v>0.13930990003224766</v>
      </c>
      <c r="O58" s="1">
        <f t="shared" si="2"/>
        <v>0.35278209375274838</v>
      </c>
      <c r="P58" s="1">
        <f t="shared" si="3"/>
        <v>1.1623230043094603</v>
      </c>
      <c r="Q58">
        <f t="shared" si="4"/>
        <v>24.760000000000005</v>
      </c>
      <c r="R58" s="1">
        <v>0</v>
      </c>
      <c r="S58" s="1">
        <v>48</v>
      </c>
      <c r="T58">
        <v>100</v>
      </c>
      <c r="U58">
        <v>7</v>
      </c>
      <c r="V58" s="1">
        <v>1000</v>
      </c>
      <c r="W58" s="1">
        <v>150</v>
      </c>
      <c r="X58" s="1">
        <v>25</v>
      </c>
      <c r="Y58" s="1" t="s">
        <v>2</v>
      </c>
      <c r="Z58" s="1">
        <v>500.13</v>
      </c>
      <c r="AA58" s="1">
        <v>1.875</v>
      </c>
      <c r="AB58" s="1">
        <v>8</v>
      </c>
      <c r="AC58" s="1" t="s">
        <v>60</v>
      </c>
      <c r="AD58" s="1">
        <v>72.17</v>
      </c>
      <c r="AE58" s="1"/>
    </row>
    <row r="59" spans="1:31">
      <c r="A59" s="1">
        <v>54</v>
      </c>
      <c r="B59" s="2" t="s">
        <v>101</v>
      </c>
      <c r="C59" s="1">
        <v>400</v>
      </c>
      <c r="D59">
        <v>3</v>
      </c>
      <c r="E59" s="1" t="s">
        <v>12</v>
      </c>
      <c r="F59">
        <v>162</v>
      </c>
      <c r="G59">
        <v>0.16200000000000001</v>
      </c>
      <c r="H59">
        <v>1</v>
      </c>
      <c r="I59" s="1">
        <v>80</v>
      </c>
      <c r="J59">
        <v>12</v>
      </c>
      <c r="K59" s="1">
        <v>0.65</v>
      </c>
      <c r="L59">
        <v>2.2000000000000002</v>
      </c>
      <c r="M59" s="1">
        <f t="shared" si="0"/>
        <v>0.11249999999999999</v>
      </c>
      <c r="N59" s="1">
        <f t="shared" si="1"/>
        <v>6.9642857142857145E-3</v>
      </c>
      <c r="O59" s="1">
        <f t="shared" si="2"/>
        <v>0.11946428571428572</v>
      </c>
      <c r="P59" s="1">
        <f t="shared" si="3"/>
        <v>0.33</v>
      </c>
      <c r="Q59">
        <v>4</v>
      </c>
      <c r="R59">
        <v>0</v>
      </c>
      <c r="S59" s="1">
        <v>48</v>
      </c>
      <c r="T59">
        <v>0.4</v>
      </c>
      <c r="U59">
        <v>7.7</v>
      </c>
      <c r="V59" s="1">
        <v>40000</v>
      </c>
      <c r="W59" s="1">
        <v>30</v>
      </c>
      <c r="X59" s="1">
        <v>20</v>
      </c>
      <c r="Y59" s="1" t="s">
        <v>2</v>
      </c>
      <c r="Z59" s="1">
        <v>500.13</v>
      </c>
      <c r="AA59" s="1">
        <v>1.875</v>
      </c>
      <c r="AB59" s="1">
        <v>8</v>
      </c>
      <c r="AC59" s="1" t="s">
        <v>60</v>
      </c>
      <c r="AD59" s="1">
        <v>9.9100000000000004E-3</v>
      </c>
      <c r="AE59" s="1"/>
    </row>
    <row r="60" spans="1:31">
      <c r="A60" s="1">
        <v>55</v>
      </c>
      <c r="B60" s="2" t="s">
        <v>102</v>
      </c>
      <c r="C60" s="1">
        <v>350</v>
      </c>
      <c r="D60">
        <v>1.1599999999999999</v>
      </c>
      <c r="E60" s="1" t="s">
        <v>12</v>
      </c>
      <c r="F60">
        <v>0.61</v>
      </c>
      <c r="G60">
        <v>0.02</v>
      </c>
      <c r="H60">
        <v>33.4</v>
      </c>
      <c r="I60" s="1">
        <v>70</v>
      </c>
      <c r="J60">
        <v>26</v>
      </c>
      <c r="K60" s="1">
        <v>0.56999999999999995</v>
      </c>
      <c r="L60">
        <v>4</v>
      </c>
      <c r="M60" s="1">
        <f t="shared" si="0"/>
        <v>0.27857142857142858</v>
      </c>
      <c r="N60" s="1">
        <f t="shared" si="1"/>
        <v>6.9795918367346931E-3</v>
      </c>
      <c r="O60" s="1">
        <f t="shared" si="2"/>
        <v>0.28555102040816327</v>
      </c>
      <c r="P60" s="1">
        <f t="shared" si="3"/>
        <v>0.68571428571428572</v>
      </c>
      <c r="Q60">
        <v>4.5</v>
      </c>
      <c r="R60" s="1">
        <v>0</v>
      </c>
      <c r="S60" s="1">
        <v>48</v>
      </c>
      <c r="T60">
        <v>0.4</v>
      </c>
      <c r="U60">
        <v>7.7</v>
      </c>
      <c r="V60" s="1">
        <v>40000</v>
      </c>
      <c r="W60" s="1">
        <v>30</v>
      </c>
      <c r="X60" s="1">
        <v>20</v>
      </c>
      <c r="Y60" s="1" t="s">
        <v>2</v>
      </c>
      <c r="Z60" s="1">
        <v>500.13</v>
      </c>
      <c r="AA60" s="1">
        <v>1.875</v>
      </c>
      <c r="AB60" s="1">
        <v>8</v>
      </c>
      <c r="AC60" s="1" t="s">
        <v>60</v>
      </c>
      <c r="AD60" s="1">
        <v>7.4999999999999997E-3</v>
      </c>
      <c r="AE60" s="1"/>
    </row>
    <row r="61" spans="1:31">
      <c r="A61" s="1">
        <v>56</v>
      </c>
      <c r="B61" s="2" t="s">
        <v>103</v>
      </c>
      <c r="C61" s="1">
        <v>350</v>
      </c>
      <c r="D61">
        <v>1.1599999999999999</v>
      </c>
      <c r="E61" s="1" t="s">
        <v>12</v>
      </c>
      <c r="F61">
        <v>1.3</v>
      </c>
      <c r="G61">
        <v>3.1E-2</v>
      </c>
      <c r="H61">
        <v>24.6</v>
      </c>
      <c r="I61" s="1">
        <v>65</v>
      </c>
      <c r="J61">
        <v>22</v>
      </c>
      <c r="K61" s="1">
        <v>0.6</v>
      </c>
      <c r="L61">
        <v>4.4000000000000004</v>
      </c>
      <c r="M61" s="1">
        <f t="shared" si="0"/>
        <v>0.25384615384615383</v>
      </c>
      <c r="N61" s="1">
        <f t="shared" si="1"/>
        <v>7.9120879120879121E-3</v>
      </c>
      <c r="O61" s="1">
        <f t="shared" si="2"/>
        <v>0.26175824175824175</v>
      </c>
      <c r="P61" s="1">
        <f t="shared" si="3"/>
        <v>0.81230769230769229</v>
      </c>
      <c r="Q61">
        <v>5</v>
      </c>
      <c r="R61">
        <v>0</v>
      </c>
      <c r="S61" s="1">
        <v>48</v>
      </c>
      <c r="T61">
        <v>0.4</v>
      </c>
      <c r="U61">
        <v>7.7</v>
      </c>
      <c r="V61" s="1">
        <v>40000</v>
      </c>
      <c r="W61" s="1">
        <v>30</v>
      </c>
      <c r="X61" s="1">
        <v>20</v>
      </c>
      <c r="Y61" s="1" t="s">
        <v>2</v>
      </c>
      <c r="Z61" s="1">
        <v>500.13</v>
      </c>
      <c r="AA61" s="1">
        <v>1.875</v>
      </c>
      <c r="AB61" s="1">
        <v>8</v>
      </c>
      <c r="AC61" s="1" t="s">
        <v>60</v>
      </c>
      <c r="AD61" s="1">
        <v>8.1499999999999993E-3</v>
      </c>
      <c r="AE61" s="1"/>
    </row>
    <row r="62" spans="1:31">
      <c r="A62" s="1">
        <v>57</v>
      </c>
      <c r="B62" s="2" t="s">
        <v>104</v>
      </c>
      <c r="C62" s="1">
        <v>350</v>
      </c>
      <c r="D62">
        <v>1.1599999999999999</v>
      </c>
      <c r="E62" s="1" t="s">
        <v>12</v>
      </c>
      <c r="F62">
        <v>3</v>
      </c>
      <c r="G62">
        <v>0.14299999999999999</v>
      </c>
      <c r="H62">
        <v>47.71</v>
      </c>
      <c r="I62" s="1">
        <v>45</v>
      </c>
      <c r="J62">
        <v>25</v>
      </c>
      <c r="K62" s="1">
        <v>4</v>
      </c>
      <c r="L62">
        <v>3.3</v>
      </c>
      <c r="M62" s="1">
        <f t="shared" si="0"/>
        <v>0.41666666666666669</v>
      </c>
      <c r="N62" s="1">
        <f t="shared" si="1"/>
        <v>7.6190476190476183E-2</v>
      </c>
      <c r="O62" s="1">
        <f t="shared" si="2"/>
        <v>0.49285714285714283</v>
      </c>
      <c r="P62" s="1">
        <f t="shared" si="3"/>
        <v>0.88</v>
      </c>
      <c r="Q62">
        <v>31</v>
      </c>
      <c r="R62" s="1">
        <v>0</v>
      </c>
      <c r="S62" s="1">
        <v>48</v>
      </c>
      <c r="T62">
        <v>0.4</v>
      </c>
      <c r="U62">
        <v>7.7</v>
      </c>
      <c r="V62" s="1">
        <v>40000</v>
      </c>
      <c r="W62" s="1">
        <v>30</v>
      </c>
      <c r="X62" s="1">
        <v>20</v>
      </c>
      <c r="Y62" s="1" t="s">
        <v>2</v>
      </c>
      <c r="Z62" s="1">
        <v>500.13</v>
      </c>
      <c r="AA62" s="1">
        <v>1.875</v>
      </c>
      <c r="AB62" s="1">
        <v>8</v>
      </c>
      <c r="AC62" s="1" t="s">
        <v>60</v>
      </c>
      <c r="AD62" s="1">
        <v>8.5299999999999994E-3</v>
      </c>
      <c r="AE62" s="1"/>
    </row>
    <row r="63" spans="1:31">
      <c r="A63" s="1">
        <v>58</v>
      </c>
      <c r="B63" s="2" t="s">
        <v>105</v>
      </c>
      <c r="C63" s="1">
        <v>350</v>
      </c>
      <c r="D63">
        <v>1.1599999999999999</v>
      </c>
      <c r="E63" s="1" t="s">
        <v>12</v>
      </c>
      <c r="F63">
        <v>0.06</v>
      </c>
      <c r="G63">
        <v>2E-3</v>
      </c>
      <c r="H63">
        <v>29</v>
      </c>
      <c r="I63" s="1">
        <v>55</v>
      </c>
      <c r="J63">
        <v>22</v>
      </c>
      <c r="K63" s="1">
        <v>7</v>
      </c>
      <c r="L63">
        <v>5.4</v>
      </c>
      <c r="M63" s="1">
        <f t="shared" si="0"/>
        <v>0.30000000000000004</v>
      </c>
      <c r="N63" s="1">
        <f t="shared" si="1"/>
        <v>0.1090909090909091</v>
      </c>
      <c r="O63" s="1">
        <f t="shared" si="2"/>
        <v>0.40909090909090912</v>
      </c>
      <c r="P63" s="1">
        <f t="shared" si="3"/>
        <v>1.1781818181818184</v>
      </c>
      <c r="Q63">
        <v>11</v>
      </c>
      <c r="R63">
        <v>0</v>
      </c>
      <c r="S63" s="1">
        <v>48</v>
      </c>
      <c r="T63">
        <v>0.4</v>
      </c>
      <c r="U63">
        <v>7.7</v>
      </c>
      <c r="V63" s="1">
        <v>40000</v>
      </c>
      <c r="W63" s="1">
        <v>30</v>
      </c>
      <c r="X63" s="1">
        <v>20</v>
      </c>
      <c r="Y63" s="1" t="s">
        <v>2</v>
      </c>
      <c r="Z63" s="1">
        <v>500.13</v>
      </c>
      <c r="AA63" s="1">
        <v>1.875</v>
      </c>
      <c r="AB63" s="1">
        <v>8</v>
      </c>
      <c r="AC63" s="1" t="s">
        <v>60</v>
      </c>
      <c r="AD63" s="1">
        <v>7.8100000000000001E-3</v>
      </c>
      <c r="AE63" s="1"/>
    </row>
    <row r="64" spans="1:31">
      <c r="A64" s="1">
        <v>59</v>
      </c>
      <c r="B64" s="2" t="s">
        <v>106</v>
      </c>
      <c r="C64" s="1">
        <v>350</v>
      </c>
      <c r="D64">
        <v>1.1599999999999999</v>
      </c>
      <c r="E64" s="1" t="s">
        <v>12</v>
      </c>
      <c r="F64">
        <v>0.97</v>
      </c>
      <c r="G64">
        <v>0.214</v>
      </c>
      <c r="H64">
        <v>220.3</v>
      </c>
      <c r="I64" s="1">
        <v>65</v>
      </c>
      <c r="J64">
        <v>24</v>
      </c>
      <c r="K64" s="1">
        <v>1</v>
      </c>
      <c r="L64">
        <v>4</v>
      </c>
      <c r="M64" s="1">
        <f t="shared" si="0"/>
        <v>0.27692307692307688</v>
      </c>
      <c r="N64" s="1">
        <f t="shared" si="1"/>
        <v>1.3186813186813185E-2</v>
      </c>
      <c r="O64" s="1">
        <f t="shared" si="2"/>
        <v>0.29010989010989008</v>
      </c>
      <c r="P64" s="1">
        <f t="shared" si="3"/>
        <v>0.73846153846153839</v>
      </c>
      <c r="Q64">
        <v>5.5</v>
      </c>
      <c r="R64" s="1">
        <v>0</v>
      </c>
      <c r="S64" s="1">
        <v>48</v>
      </c>
      <c r="T64">
        <v>0.4</v>
      </c>
      <c r="U64">
        <v>7.7</v>
      </c>
      <c r="V64" s="1">
        <v>40000</v>
      </c>
      <c r="W64" s="1">
        <v>30</v>
      </c>
      <c r="X64" s="1">
        <v>20</v>
      </c>
      <c r="Y64" s="1" t="s">
        <v>2</v>
      </c>
      <c r="Z64" s="1">
        <v>500.13</v>
      </c>
      <c r="AA64" s="1">
        <v>1.875</v>
      </c>
      <c r="AB64" s="1">
        <v>8</v>
      </c>
      <c r="AC64" s="1" t="s">
        <v>60</v>
      </c>
      <c r="AD64" s="1">
        <v>7.4999999999999997E-3</v>
      </c>
      <c r="AE64" s="1"/>
    </row>
    <row r="65" spans="1:31">
      <c r="A65" s="1">
        <v>60</v>
      </c>
      <c r="B65" s="2" t="s">
        <v>101</v>
      </c>
      <c r="C65" s="1">
        <v>400</v>
      </c>
      <c r="D65">
        <v>3</v>
      </c>
      <c r="E65" s="1" t="s">
        <v>0</v>
      </c>
      <c r="F65">
        <v>162</v>
      </c>
      <c r="G65">
        <v>0.16200000000000001</v>
      </c>
      <c r="H65">
        <v>1</v>
      </c>
      <c r="I65" s="1">
        <v>80</v>
      </c>
      <c r="J65">
        <v>12</v>
      </c>
      <c r="K65" s="1">
        <v>0.65</v>
      </c>
      <c r="L65">
        <v>2.2000000000000002</v>
      </c>
      <c r="M65" s="1">
        <f t="shared" si="0"/>
        <v>0.11249999999999999</v>
      </c>
      <c r="N65" s="1">
        <f t="shared" si="1"/>
        <v>6.9642857142857145E-3</v>
      </c>
      <c r="O65" s="1">
        <f t="shared" si="2"/>
        <v>0.11946428571428572</v>
      </c>
      <c r="P65" s="1">
        <f t="shared" si="3"/>
        <v>0.33</v>
      </c>
      <c r="Q65">
        <v>4</v>
      </c>
      <c r="R65">
        <v>0</v>
      </c>
      <c r="S65" s="1">
        <v>48</v>
      </c>
      <c r="T65">
        <v>0.1</v>
      </c>
      <c r="U65">
        <v>7.7</v>
      </c>
      <c r="V65" s="1">
        <v>40000</v>
      </c>
      <c r="W65" s="1">
        <v>30</v>
      </c>
      <c r="X65" s="1">
        <v>20</v>
      </c>
      <c r="Y65" s="1" t="s">
        <v>13</v>
      </c>
      <c r="Z65" s="1">
        <v>300.10000000000002</v>
      </c>
      <c r="AA65" s="1">
        <v>1.75</v>
      </c>
      <c r="AB65" s="1">
        <v>4</v>
      </c>
      <c r="AC65" s="1" t="s">
        <v>60</v>
      </c>
      <c r="AD65" s="1">
        <v>4.3200000000000001E-3</v>
      </c>
      <c r="AE65" s="1"/>
    </row>
    <row r="66" spans="1:31">
      <c r="A66" s="1">
        <v>61</v>
      </c>
      <c r="B66" s="2" t="s">
        <v>102</v>
      </c>
      <c r="C66" s="1">
        <v>350</v>
      </c>
      <c r="D66">
        <v>1.1599999999999999</v>
      </c>
      <c r="E66" s="1" t="s">
        <v>0</v>
      </c>
      <c r="F66">
        <v>0.61</v>
      </c>
      <c r="G66">
        <v>0.02</v>
      </c>
      <c r="H66">
        <v>33.4</v>
      </c>
      <c r="I66" s="1">
        <v>70</v>
      </c>
      <c r="J66">
        <v>26</v>
      </c>
      <c r="K66" s="1">
        <v>0.56999999999999995</v>
      </c>
      <c r="L66">
        <v>4</v>
      </c>
      <c r="M66" s="1">
        <f t="shared" si="0"/>
        <v>0.27857142857142858</v>
      </c>
      <c r="N66" s="1">
        <f t="shared" si="1"/>
        <v>6.9795918367346931E-3</v>
      </c>
      <c r="O66" s="1">
        <f t="shared" si="2"/>
        <v>0.28555102040816327</v>
      </c>
      <c r="P66" s="1">
        <f t="shared" si="3"/>
        <v>0.68571428571428572</v>
      </c>
      <c r="Q66">
        <v>4.5</v>
      </c>
      <c r="R66" s="1">
        <v>0</v>
      </c>
      <c r="S66" s="1">
        <v>48</v>
      </c>
      <c r="T66">
        <v>0.1</v>
      </c>
      <c r="U66">
        <v>7.7</v>
      </c>
      <c r="V66" s="1">
        <v>40000</v>
      </c>
      <c r="W66" s="1">
        <v>30</v>
      </c>
      <c r="X66" s="1">
        <v>20</v>
      </c>
      <c r="Y66" s="1" t="s">
        <v>13</v>
      </c>
      <c r="Z66" s="1">
        <v>300.10000000000002</v>
      </c>
      <c r="AA66" s="1">
        <v>1.75</v>
      </c>
      <c r="AB66" s="1">
        <v>4</v>
      </c>
      <c r="AC66" s="1" t="s">
        <v>60</v>
      </c>
      <c r="AD66" s="1">
        <v>2.4199999999999998E-3</v>
      </c>
      <c r="AE66" s="1"/>
    </row>
    <row r="67" spans="1:31">
      <c r="A67" s="1">
        <v>62</v>
      </c>
      <c r="B67" s="2" t="s">
        <v>103</v>
      </c>
      <c r="C67" s="1">
        <v>350</v>
      </c>
      <c r="D67">
        <v>1.1599999999999999</v>
      </c>
      <c r="E67" s="1" t="s">
        <v>0</v>
      </c>
      <c r="F67">
        <v>1.3</v>
      </c>
      <c r="G67">
        <v>3.1E-2</v>
      </c>
      <c r="H67">
        <v>24.6</v>
      </c>
      <c r="I67" s="1">
        <v>65</v>
      </c>
      <c r="J67">
        <v>22</v>
      </c>
      <c r="K67" s="1">
        <v>0.6</v>
      </c>
      <c r="L67">
        <v>4.4000000000000004</v>
      </c>
      <c r="M67" s="1">
        <f t="shared" si="0"/>
        <v>0.25384615384615383</v>
      </c>
      <c r="N67" s="1">
        <f t="shared" si="1"/>
        <v>7.9120879120879121E-3</v>
      </c>
      <c r="O67" s="1">
        <f t="shared" si="2"/>
        <v>0.26175824175824175</v>
      </c>
      <c r="P67" s="1">
        <f t="shared" si="3"/>
        <v>0.81230769230769229</v>
      </c>
      <c r="Q67">
        <v>5</v>
      </c>
      <c r="R67">
        <v>0</v>
      </c>
      <c r="S67" s="1">
        <v>48</v>
      </c>
      <c r="T67">
        <v>0.1</v>
      </c>
      <c r="U67">
        <v>7.7</v>
      </c>
      <c r="V67" s="1">
        <v>40000</v>
      </c>
      <c r="W67" s="1">
        <v>30</v>
      </c>
      <c r="X67" s="1">
        <v>20</v>
      </c>
      <c r="Y67" s="1" t="s">
        <v>13</v>
      </c>
      <c r="Z67" s="1">
        <v>300.10000000000002</v>
      </c>
      <c r="AA67" s="1">
        <v>1.75</v>
      </c>
      <c r="AB67" s="1">
        <v>4</v>
      </c>
      <c r="AC67" s="1" t="s">
        <v>60</v>
      </c>
      <c r="AD67" s="1">
        <v>2.65E-3</v>
      </c>
      <c r="AE67" s="1"/>
    </row>
    <row r="68" spans="1:31">
      <c r="A68" s="1">
        <v>63</v>
      </c>
      <c r="B68" s="2" t="s">
        <v>104</v>
      </c>
      <c r="C68" s="1">
        <v>350</v>
      </c>
      <c r="D68">
        <v>1.1599999999999999</v>
      </c>
      <c r="E68" s="1" t="s">
        <v>0</v>
      </c>
      <c r="F68">
        <v>3</v>
      </c>
      <c r="G68">
        <v>0.14299999999999999</v>
      </c>
      <c r="H68">
        <v>47.71</v>
      </c>
      <c r="I68" s="1">
        <v>45</v>
      </c>
      <c r="J68">
        <v>25</v>
      </c>
      <c r="K68" s="1">
        <v>4</v>
      </c>
      <c r="L68">
        <v>3.3</v>
      </c>
      <c r="M68" s="1">
        <f t="shared" si="0"/>
        <v>0.41666666666666669</v>
      </c>
      <c r="N68" s="1">
        <f t="shared" si="1"/>
        <v>7.6190476190476183E-2</v>
      </c>
      <c r="O68" s="1">
        <f t="shared" si="2"/>
        <v>0.49285714285714283</v>
      </c>
      <c r="P68" s="1">
        <f t="shared" si="3"/>
        <v>0.88</v>
      </c>
      <c r="Q68">
        <v>31</v>
      </c>
      <c r="R68" s="1">
        <v>0</v>
      </c>
      <c r="S68" s="1">
        <v>48</v>
      </c>
      <c r="T68">
        <v>0.1</v>
      </c>
      <c r="U68">
        <v>7.7</v>
      </c>
      <c r="V68" s="1">
        <v>40000</v>
      </c>
      <c r="W68" s="1">
        <v>30</v>
      </c>
      <c r="X68" s="1">
        <v>20</v>
      </c>
      <c r="Y68" s="1" t="s">
        <v>13</v>
      </c>
      <c r="Z68" s="1">
        <v>300.10000000000002</v>
      </c>
      <c r="AA68" s="1">
        <v>1.75</v>
      </c>
      <c r="AB68" s="1">
        <v>4</v>
      </c>
      <c r="AC68" s="1" t="s">
        <v>60</v>
      </c>
      <c r="AD68" s="1">
        <v>2.8600000000000001E-3</v>
      </c>
      <c r="AE68" s="1"/>
    </row>
    <row r="69" spans="1:31">
      <c r="A69" s="1">
        <v>64</v>
      </c>
      <c r="B69" s="2" t="s">
        <v>105</v>
      </c>
      <c r="C69" s="1">
        <v>350</v>
      </c>
      <c r="D69">
        <v>1.1599999999999999</v>
      </c>
      <c r="E69" s="1" t="s">
        <v>0</v>
      </c>
      <c r="F69">
        <v>0.06</v>
      </c>
      <c r="G69">
        <v>2E-3</v>
      </c>
      <c r="H69">
        <v>29</v>
      </c>
      <c r="I69" s="1">
        <v>55</v>
      </c>
      <c r="J69">
        <v>22</v>
      </c>
      <c r="K69" s="1">
        <v>7</v>
      </c>
      <c r="L69">
        <v>5.4</v>
      </c>
      <c r="M69" s="1">
        <f t="shared" si="0"/>
        <v>0.30000000000000004</v>
      </c>
      <c r="N69" s="1">
        <f t="shared" si="1"/>
        <v>0.1090909090909091</v>
      </c>
      <c r="O69" s="1">
        <f t="shared" si="2"/>
        <v>0.40909090909090912</v>
      </c>
      <c r="P69" s="1">
        <f t="shared" si="3"/>
        <v>1.1781818181818184</v>
      </c>
      <c r="Q69">
        <v>11</v>
      </c>
      <c r="R69">
        <v>0</v>
      </c>
      <c r="S69" s="1">
        <v>48</v>
      </c>
      <c r="T69">
        <v>0.1</v>
      </c>
      <c r="U69">
        <v>7.7</v>
      </c>
      <c r="V69" s="1">
        <v>40000</v>
      </c>
      <c r="W69" s="1">
        <v>30</v>
      </c>
      <c r="X69" s="1">
        <v>20</v>
      </c>
      <c r="Y69" s="1" t="s">
        <v>13</v>
      </c>
      <c r="Z69" s="1">
        <v>300.10000000000002</v>
      </c>
      <c r="AA69" s="1">
        <v>1.75</v>
      </c>
      <c r="AB69" s="1">
        <v>4</v>
      </c>
      <c r="AC69" s="1" t="s">
        <v>60</v>
      </c>
      <c r="AD69" s="1">
        <v>3.8999999999999998E-3</v>
      </c>
      <c r="AE69" s="1"/>
    </row>
    <row r="70" spans="1:31">
      <c r="A70" s="1">
        <v>65</v>
      </c>
      <c r="B70" s="2" t="s">
        <v>106</v>
      </c>
      <c r="C70" s="1">
        <v>350</v>
      </c>
      <c r="D70">
        <v>1.1599999999999999</v>
      </c>
      <c r="E70" s="1" t="s">
        <v>0</v>
      </c>
      <c r="F70">
        <v>0.97</v>
      </c>
      <c r="G70">
        <v>0.214</v>
      </c>
      <c r="H70">
        <v>220.3</v>
      </c>
      <c r="I70" s="1">
        <v>65</v>
      </c>
      <c r="J70">
        <v>24</v>
      </c>
      <c r="K70" s="1">
        <v>1</v>
      </c>
      <c r="L70">
        <v>4</v>
      </c>
      <c r="M70" s="1">
        <f t="shared" si="0"/>
        <v>0.27692307692307688</v>
      </c>
      <c r="N70" s="1">
        <f t="shared" si="1"/>
        <v>1.3186813186813185E-2</v>
      </c>
      <c r="O70" s="1">
        <f t="shared" si="2"/>
        <v>0.29010989010989008</v>
      </c>
      <c r="P70" s="1">
        <f t="shared" si="3"/>
        <v>0.73846153846153839</v>
      </c>
      <c r="Q70">
        <v>5.5</v>
      </c>
      <c r="R70" s="1">
        <v>0</v>
      </c>
      <c r="S70" s="1">
        <v>48</v>
      </c>
      <c r="T70">
        <v>0.1</v>
      </c>
      <c r="U70">
        <v>7.7</v>
      </c>
      <c r="V70" s="1">
        <v>40000</v>
      </c>
      <c r="W70" s="1">
        <v>30</v>
      </c>
      <c r="X70" s="1">
        <v>20</v>
      </c>
      <c r="Y70" s="1" t="s">
        <v>13</v>
      </c>
      <c r="Z70" s="1">
        <v>300.10000000000002</v>
      </c>
      <c r="AA70" s="1">
        <v>1.75</v>
      </c>
      <c r="AB70" s="1">
        <v>4</v>
      </c>
      <c r="AC70" s="1" t="s">
        <v>60</v>
      </c>
      <c r="AD70" s="1">
        <v>3.0599999999999998E-3</v>
      </c>
      <c r="AE70" s="1"/>
    </row>
    <row r="71" spans="1:31">
      <c r="A71" s="1">
        <v>66</v>
      </c>
      <c r="B71" s="2" t="s">
        <v>101</v>
      </c>
      <c r="C71" s="1">
        <v>400</v>
      </c>
      <c r="D71">
        <v>3</v>
      </c>
      <c r="E71" s="1" t="s">
        <v>0</v>
      </c>
      <c r="F71">
        <v>162</v>
      </c>
      <c r="G71">
        <v>0.16200000000000001</v>
      </c>
      <c r="H71">
        <v>1</v>
      </c>
      <c r="I71" s="1">
        <v>80</v>
      </c>
      <c r="J71">
        <v>12</v>
      </c>
      <c r="K71" s="1">
        <v>0.65</v>
      </c>
      <c r="L71">
        <v>2.2000000000000002</v>
      </c>
      <c r="M71" s="1">
        <f t="shared" ref="M71:M134" si="5">(J71/16)/(I71/12)</f>
        <v>0.11249999999999999</v>
      </c>
      <c r="N71" s="1">
        <f t="shared" ref="N71:N134" si="6">(K71/14)/(I71/12)</f>
        <v>6.9642857142857145E-3</v>
      </c>
      <c r="O71" s="1">
        <f t="shared" ref="O71:O134" si="7">(J71/16+K71/14)/(I71/12)</f>
        <v>0.11946428571428572</v>
      </c>
      <c r="P71" s="1">
        <f t="shared" ref="P71:P134" si="8">(L71/1)/(I71/12)</f>
        <v>0.33</v>
      </c>
      <c r="Q71">
        <v>4</v>
      </c>
      <c r="R71">
        <v>0</v>
      </c>
      <c r="S71" s="1">
        <v>48</v>
      </c>
      <c r="T71">
        <v>0.1</v>
      </c>
      <c r="U71">
        <v>7.7</v>
      </c>
      <c r="V71" s="1">
        <v>40000</v>
      </c>
      <c r="W71" s="1">
        <v>30</v>
      </c>
      <c r="X71" s="1">
        <v>20</v>
      </c>
      <c r="Y71" s="1" t="s">
        <v>14</v>
      </c>
      <c r="Z71" s="1">
        <v>314.05399999999997</v>
      </c>
      <c r="AA71" s="1">
        <v>1.833</v>
      </c>
      <c r="AB71" s="1">
        <v>6</v>
      </c>
      <c r="AC71" s="1" t="s">
        <v>59</v>
      </c>
      <c r="AD71" s="1">
        <v>5.0000000000000001E-3</v>
      </c>
      <c r="AE71" s="1"/>
    </row>
    <row r="72" spans="1:31">
      <c r="A72" s="1">
        <v>67</v>
      </c>
      <c r="B72" s="2" t="s">
        <v>102</v>
      </c>
      <c r="C72" s="1">
        <v>350</v>
      </c>
      <c r="D72">
        <v>1.1599999999999999</v>
      </c>
      <c r="E72" s="1" t="s">
        <v>0</v>
      </c>
      <c r="F72">
        <v>0.61</v>
      </c>
      <c r="G72">
        <v>0.02</v>
      </c>
      <c r="H72">
        <v>33.4</v>
      </c>
      <c r="I72" s="1">
        <v>70</v>
      </c>
      <c r="J72">
        <v>26</v>
      </c>
      <c r="K72" s="1">
        <v>0.56999999999999995</v>
      </c>
      <c r="L72">
        <v>4</v>
      </c>
      <c r="M72" s="1">
        <f t="shared" si="5"/>
        <v>0.27857142857142858</v>
      </c>
      <c r="N72" s="1">
        <f t="shared" si="6"/>
        <v>6.9795918367346931E-3</v>
      </c>
      <c r="O72" s="1">
        <f t="shared" si="7"/>
        <v>0.28555102040816327</v>
      </c>
      <c r="P72" s="1">
        <f t="shared" si="8"/>
        <v>0.68571428571428572</v>
      </c>
      <c r="Q72">
        <v>4.5</v>
      </c>
      <c r="R72" s="1">
        <v>0</v>
      </c>
      <c r="S72" s="1">
        <v>48</v>
      </c>
      <c r="T72">
        <v>0.1</v>
      </c>
      <c r="U72">
        <v>7.7</v>
      </c>
      <c r="V72" s="1">
        <v>40000</v>
      </c>
      <c r="W72" s="1">
        <v>30</v>
      </c>
      <c r="X72" s="1">
        <v>20</v>
      </c>
      <c r="Y72" s="1" t="s">
        <v>14</v>
      </c>
      <c r="Z72" s="1">
        <v>314.05399999999997</v>
      </c>
      <c r="AA72" s="1">
        <v>1.833</v>
      </c>
      <c r="AB72" s="1">
        <v>6</v>
      </c>
      <c r="AC72" s="1" t="s">
        <v>59</v>
      </c>
      <c r="AD72" s="1">
        <v>4.4000000000000003E-3</v>
      </c>
      <c r="AE72" s="1"/>
    </row>
    <row r="73" spans="1:31">
      <c r="A73" s="1">
        <v>68</v>
      </c>
      <c r="B73" s="2" t="s">
        <v>103</v>
      </c>
      <c r="C73" s="1">
        <v>350</v>
      </c>
      <c r="D73">
        <v>1.1599999999999999</v>
      </c>
      <c r="E73" s="1" t="s">
        <v>0</v>
      </c>
      <c r="F73">
        <v>1.3</v>
      </c>
      <c r="G73">
        <v>3.1E-2</v>
      </c>
      <c r="H73">
        <v>24.6</v>
      </c>
      <c r="I73" s="1">
        <v>65</v>
      </c>
      <c r="J73">
        <v>22</v>
      </c>
      <c r="K73" s="1">
        <v>0.6</v>
      </c>
      <c r="L73">
        <v>4.4000000000000004</v>
      </c>
      <c r="M73" s="1">
        <f t="shared" si="5"/>
        <v>0.25384615384615383</v>
      </c>
      <c r="N73" s="1">
        <f t="shared" si="6"/>
        <v>7.9120879120879121E-3</v>
      </c>
      <c r="O73" s="1">
        <f t="shared" si="7"/>
        <v>0.26175824175824175</v>
      </c>
      <c r="P73" s="1">
        <f t="shared" si="8"/>
        <v>0.81230769230769229</v>
      </c>
      <c r="Q73">
        <v>5</v>
      </c>
      <c r="R73">
        <v>0</v>
      </c>
      <c r="S73" s="1">
        <v>48</v>
      </c>
      <c r="T73">
        <v>0.1</v>
      </c>
      <c r="U73">
        <v>7.7</v>
      </c>
      <c r="V73" s="1">
        <v>40000</v>
      </c>
      <c r="W73" s="1">
        <v>30</v>
      </c>
      <c r="X73" s="1">
        <v>20</v>
      </c>
      <c r="Y73" s="1" t="s">
        <v>14</v>
      </c>
      <c r="Z73" s="1">
        <v>314.05399999999997</v>
      </c>
      <c r="AA73" s="1">
        <v>1.833</v>
      </c>
      <c r="AB73" s="1">
        <v>6</v>
      </c>
      <c r="AC73" s="1" t="s">
        <v>59</v>
      </c>
      <c r="AD73" s="1">
        <v>4.0499999999999998E-3</v>
      </c>
      <c r="AE73" s="1"/>
    </row>
    <row r="74" spans="1:31">
      <c r="A74" s="1">
        <v>69</v>
      </c>
      <c r="B74" s="2" t="s">
        <v>104</v>
      </c>
      <c r="C74" s="1">
        <v>350</v>
      </c>
      <c r="D74">
        <v>1.1599999999999999</v>
      </c>
      <c r="E74" s="1" t="s">
        <v>0</v>
      </c>
      <c r="F74">
        <v>3</v>
      </c>
      <c r="G74">
        <v>0.14299999999999999</v>
      </c>
      <c r="H74">
        <v>47.71</v>
      </c>
      <c r="I74" s="1">
        <v>45</v>
      </c>
      <c r="J74">
        <v>25</v>
      </c>
      <c r="K74" s="1">
        <v>4</v>
      </c>
      <c r="L74">
        <v>3.3</v>
      </c>
      <c r="M74" s="1">
        <f t="shared" si="5"/>
        <v>0.41666666666666669</v>
      </c>
      <c r="N74" s="1">
        <f t="shared" si="6"/>
        <v>7.6190476190476183E-2</v>
      </c>
      <c r="O74" s="1">
        <f t="shared" si="7"/>
        <v>0.49285714285714283</v>
      </c>
      <c r="P74" s="1">
        <f t="shared" si="8"/>
        <v>0.88</v>
      </c>
      <c r="Q74">
        <v>31</v>
      </c>
      <c r="R74" s="1">
        <v>0</v>
      </c>
      <c r="S74" s="1">
        <v>48</v>
      </c>
      <c r="T74">
        <v>0.1</v>
      </c>
      <c r="U74">
        <v>7.7</v>
      </c>
      <c r="V74" s="1">
        <v>40000</v>
      </c>
      <c r="W74" s="1">
        <v>30</v>
      </c>
      <c r="X74" s="1">
        <v>20</v>
      </c>
      <c r="Y74" s="1" t="s">
        <v>14</v>
      </c>
      <c r="Z74" s="1">
        <v>314.05399999999997</v>
      </c>
      <c r="AA74" s="1">
        <v>1.833</v>
      </c>
      <c r="AB74" s="1">
        <v>6</v>
      </c>
      <c r="AC74" s="1" t="s">
        <v>59</v>
      </c>
      <c r="AD74" s="1">
        <v>4.3200000000000001E-3</v>
      </c>
      <c r="AE74" s="1"/>
    </row>
    <row r="75" spans="1:31">
      <c r="A75" s="1">
        <v>70</v>
      </c>
      <c r="B75" s="2" t="s">
        <v>105</v>
      </c>
      <c r="C75" s="1">
        <v>350</v>
      </c>
      <c r="D75">
        <v>1.1599999999999999</v>
      </c>
      <c r="E75" s="1" t="s">
        <v>0</v>
      </c>
      <c r="F75">
        <v>0.06</v>
      </c>
      <c r="G75">
        <v>2E-3</v>
      </c>
      <c r="H75">
        <v>29</v>
      </c>
      <c r="I75" s="1">
        <v>55</v>
      </c>
      <c r="J75">
        <v>22</v>
      </c>
      <c r="K75" s="1">
        <v>7</v>
      </c>
      <c r="L75">
        <v>5.4</v>
      </c>
      <c r="M75" s="1">
        <f t="shared" si="5"/>
        <v>0.30000000000000004</v>
      </c>
      <c r="N75" s="1">
        <f t="shared" si="6"/>
        <v>0.1090909090909091</v>
      </c>
      <c r="O75" s="1">
        <f t="shared" si="7"/>
        <v>0.40909090909090912</v>
      </c>
      <c r="P75" s="1">
        <f t="shared" si="8"/>
        <v>1.1781818181818184</v>
      </c>
      <c r="Q75">
        <v>11</v>
      </c>
      <c r="R75">
        <v>0</v>
      </c>
      <c r="S75" s="1">
        <v>48</v>
      </c>
      <c r="T75">
        <v>0.1</v>
      </c>
      <c r="U75">
        <v>7.7</v>
      </c>
      <c r="V75" s="1">
        <v>40000</v>
      </c>
      <c r="W75" s="1">
        <v>30</v>
      </c>
      <c r="X75" s="1">
        <v>20</v>
      </c>
      <c r="Y75" s="1" t="s">
        <v>14</v>
      </c>
      <c r="Z75" s="1">
        <v>314.05399999999997</v>
      </c>
      <c r="AA75" s="1">
        <v>1.833</v>
      </c>
      <c r="AB75" s="1">
        <v>6</v>
      </c>
      <c r="AC75" s="1" t="s">
        <v>59</v>
      </c>
      <c r="AD75" s="1">
        <v>6.0299999999999998E-3</v>
      </c>
      <c r="AE75" s="1"/>
    </row>
    <row r="76" spans="1:31">
      <c r="A76" s="1">
        <v>71</v>
      </c>
      <c r="B76" s="2" t="s">
        <v>106</v>
      </c>
      <c r="C76" s="1">
        <v>350</v>
      </c>
      <c r="D76">
        <v>1.1599999999999999</v>
      </c>
      <c r="E76" s="1" t="s">
        <v>0</v>
      </c>
      <c r="F76">
        <v>0.97</v>
      </c>
      <c r="G76">
        <v>0.214</v>
      </c>
      <c r="H76">
        <v>220.3</v>
      </c>
      <c r="I76" s="1">
        <v>65</v>
      </c>
      <c r="J76">
        <v>24</v>
      </c>
      <c r="K76" s="1">
        <v>1</v>
      </c>
      <c r="L76">
        <v>4</v>
      </c>
      <c r="M76" s="1">
        <f t="shared" si="5"/>
        <v>0.27692307692307688</v>
      </c>
      <c r="N76" s="1">
        <f t="shared" si="6"/>
        <v>1.3186813186813185E-2</v>
      </c>
      <c r="O76" s="1">
        <f t="shared" si="7"/>
        <v>0.29010989010989008</v>
      </c>
      <c r="P76" s="1">
        <f t="shared" si="8"/>
        <v>0.73846153846153839</v>
      </c>
      <c r="Q76">
        <v>5.5</v>
      </c>
      <c r="R76" s="1">
        <v>0</v>
      </c>
      <c r="S76" s="1">
        <v>48</v>
      </c>
      <c r="T76">
        <v>0.1</v>
      </c>
      <c r="U76">
        <v>7.7</v>
      </c>
      <c r="V76" s="1">
        <v>40000</v>
      </c>
      <c r="W76" s="1">
        <v>30</v>
      </c>
      <c r="X76" s="1">
        <v>20</v>
      </c>
      <c r="Y76" s="1" t="s">
        <v>14</v>
      </c>
      <c r="Z76" s="1">
        <v>314.05399999999997</v>
      </c>
      <c r="AA76" s="1">
        <v>1.833</v>
      </c>
      <c r="AB76" s="1">
        <v>6</v>
      </c>
      <c r="AC76" s="1" t="s">
        <v>59</v>
      </c>
      <c r="AD76" s="1">
        <v>3.7499999999999999E-3</v>
      </c>
      <c r="AE76" s="1"/>
    </row>
    <row r="77" spans="1:31">
      <c r="A77" s="1">
        <v>72</v>
      </c>
      <c r="B77" s="2" t="s">
        <v>101</v>
      </c>
      <c r="C77" s="1">
        <v>400</v>
      </c>
      <c r="D77">
        <v>3</v>
      </c>
      <c r="E77" s="1" t="s">
        <v>0</v>
      </c>
      <c r="F77">
        <v>162</v>
      </c>
      <c r="G77">
        <v>0.16200000000000001</v>
      </c>
      <c r="H77">
        <v>1</v>
      </c>
      <c r="I77" s="1">
        <v>80</v>
      </c>
      <c r="J77">
        <v>12</v>
      </c>
      <c r="K77" s="1">
        <v>0.65</v>
      </c>
      <c r="L77">
        <v>2.2000000000000002</v>
      </c>
      <c r="M77" s="1">
        <f t="shared" si="5"/>
        <v>0.11249999999999999</v>
      </c>
      <c r="N77" s="1">
        <f t="shared" si="6"/>
        <v>6.9642857142857145E-3</v>
      </c>
      <c r="O77" s="1">
        <f t="shared" si="7"/>
        <v>0.11946428571428572</v>
      </c>
      <c r="P77" s="1">
        <f t="shared" si="8"/>
        <v>0.33</v>
      </c>
      <c r="Q77">
        <v>4</v>
      </c>
      <c r="R77">
        <v>0</v>
      </c>
      <c r="S77" s="1">
        <v>48</v>
      </c>
      <c r="T77">
        <v>0.1</v>
      </c>
      <c r="U77">
        <v>7.7</v>
      </c>
      <c r="V77" s="1">
        <v>40000</v>
      </c>
      <c r="W77" s="1">
        <v>30</v>
      </c>
      <c r="X77" s="1">
        <v>20</v>
      </c>
      <c r="Y77" s="1" t="s">
        <v>15</v>
      </c>
      <c r="Z77" s="1">
        <v>400.1</v>
      </c>
      <c r="AA77" s="1">
        <v>1.833</v>
      </c>
      <c r="AB77" s="1">
        <v>6</v>
      </c>
      <c r="AC77" s="1" t="s">
        <v>60</v>
      </c>
      <c r="AD77" s="1">
        <v>8.2100000000000003E-3</v>
      </c>
      <c r="AE77" s="1"/>
    </row>
    <row r="78" spans="1:31">
      <c r="A78" s="1">
        <v>73</v>
      </c>
      <c r="B78" s="2" t="s">
        <v>102</v>
      </c>
      <c r="C78" s="1">
        <v>350</v>
      </c>
      <c r="D78">
        <v>1.1599999999999999</v>
      </c>
      <c r="E78" s="1" t="s">
        <v>0</v>
      </c>
      <c r="F78">
        <v>0.61</v>
      </c>
      <c r="G78">
        <v>0.02</v>
      </c>
      <c r="H78">
        <v>33.4</v>
      </c>
      <c r="I78" s="1">
        <v>70</v>
      </c>
      <c r="J78">
        <v>26</v>
      </c>
      <c r="K78" s="1">
        <v>0.56999999999999995</v>
      </c>
      <c r="L78">
        <v>4</v>
      </c>
      <c r="M78" s="1">
        <f t="shared" si="5"/>
        <v>0.27857142857142858</v>
      </c>
      <c r="N78" s="1">
        <f t="shared" si="6"/>
        <v>6.9795918367346931E-3</v>
      </c>
      <c r="O78" s="1">
        <f t="shared" si="7"/>
        <v>0.28555102040816327</v>
      </c>
      <c r="P78" s="1">
        <f t="shared" si="8"/>
        <v>0.68571428571428572</v>
      </c>
      <c r="Q78">
        <v>4.5</v>
      </c>
      <c r="R78" s="1">
        <v>0</v>
      </c>
      <c r="S78" s="1">
        <v>48</v>
      </c>
      <c r="T78">
        <v>0.1</v>
      </c>
      <c r="U78">
        <v>7.7</v>
      </c>
      <c r="V78" s="1">
        <v>40000</v>
      </c>
      <c r="W78" s="1">
        <v>30</v>
      </c>
      <c r="X78" s="1">
        <v>20</v>
      </c>
      <c r="Y78" s="1" t="s">
        <v>15</v>
      </c>
      <c r="Z78" s="1">
        <v>400.1</v>
      </c>
      <c r="AA78" s="1">
        <v>1.833</v>
      </c>
      <c r="AB78" s="1">
        <v>6</v>
      </c>
      <c r="AC78" s="1" t="s">
        <v>60</v>
      </c>
      <c r="AD78" s="1">
        <v>4.79E-3</v>
      </c>
      <c r="AE78" s="1"/>
    </row>
    <row r="79" spans="1:31">
      <c r="A79" s="1">
        <v>74</v>
      </c>
      <c r="B79" s="2" t="s">
        <v>103</v>
      </c>
      <c r="C79" s="1">
        <v>350</v>
      </c>
      <c r="D79">
        <v>1.1599999999999999</v>
      </c>
      <c r="E79" s="1" t="s">
        <v>0</v>
      </c>
      <c r="F79">
        <v>1.3</v>
      </c>
      <c r="G79">
        <v>3.1E-2</v>
      </c>
      <c r="H79">
        <v>24.6</v>
      </c>
      <c r="I79" s="1">
        <v>65</v>
      </c>
      <c r="J79">
        <v>22</v>
      </c>
      <c r="K79" s="1">
        <v>0.6</v>
      </c>
      <c r="L79">
        <v>4.4000000000000004</v>
      </c>
      <c r="M79" s="1">
        <f t="shared" si="5"/>
        <v>0.25384615384615383</v>
      </c>
      <c r="N79" s="1">
        <f t="shared" si="6"/>
        <v>7.9120879120879121E-3</v>
      </c>
      <c r="O79" s="1">
        <f t="shared" si="7"/>
        <v>0.26175824175824175</v>
      </c>
      <c r="P79" s="1">
        <f t="shared" si="8"/>
        <v>0.81230769230769229</v>
      </c>
      <c r="Q79">
        <v>5</v>
      </c>
      <c r="R79">
        <v>0</v>
      </c>
      <c r="S79" s="1">
        <v>48</v>
      </c>
      <c r="T79">
        <v>0.1</v>
      </c>
      <c r="U79">
        <v>7.7</v>
      </c>
      <c r="V79" s="1">
        <v>40000</v>
      </c>
      <c r="W79" s="1">
        <v>30</v>
      </c>
      <c r="X79" s="1">
        <v>20</v>
      </c>
      <c r="Y79" s="1" t="s">
        <v>15</v>
      </c>
      <c r="Z79" s="1">
        <v>400.1</v>
      </c>
      <c r="AA79" s="1">
        <v>1.833</v>
      </c>
      <c r="AB79" s="1">
        <v>6</v>
      </c>
      <c r="AC79" s="1" t="s">
        <v>60</v>
      </c>
      <c r="AD79" s="1">
        <v>4.6800000000000001E-3</v>
      </c>
      <c r="AE79" s="1"/>
    </row>
    <row r="80" spans="1:31">
      <c r="A80" s="1">
        <v>75</v>
      </c>
      <c r="B80" s="2" t="s">
        <v>104</v>
      </c>
      <c r="C80" s="1">
        <v>350</v>
      </c>
      <c r="D80">
        <v>1.1599999999999999</v>
      </c>
      <c r="E80" s="1" t="s">
        <v>0</v>
      </c>
      <c r="F80">
        <v>3</v>
      </c>
      <c r="G80">
        <v>0.14299999999999999</v>
      </c>
      <c r="H80">
        <v>47.71</v>
      </c>
      <c r="I80" s="1">
        <v>45</v>
      </c>
      <c r="J80">
        <v>25</v>
      </c>
      <c r="K80" s="1">
        <v>4</v>
      </c>
      <c r="L80">
        <v>3.3</v>
      </c>
      <c r="M80" s="1">
        <f t="shared" si="5"/>
        <v>0.41666666666666669</v>
      </c>
      <c r="N80" s="1">
        <f t="shared" si="6"/>
        <v>7.6190476190476183E-2</v>
      </c>
      <c r="O80" s="1">
        <f t="shared" si="7"/>
        <v>0.49285714285714283</v>
      </c>
      <c r="P80" s="1">
        <f t="shared" si="8"/>
        <v>0.88</v>
      </c>
      <c r="Q80">
        <v>31</v>
      </c>
      <c r="R80" s="1">
        <v>0</v>
      </c>
      <c r="S80" s="1">
        <v>48</v>
      </c>
      <c r="T80">
        <v>0.1</v>
      </c>
      <c r="U80">
        <v>7.7</v>
      </c>
      <c r="V80" s="1">
        <v>40000</v>
      </c>
      <c r="W80" s="1">
        <v>30</v>
      </c>
      <c r="X80" s="1">
        <v>20</v>
      </c>
      <c r="Y80" s="1" t="s">
        <v>15</v>
      </c>
      <c r="Z80" s="1">
        <v>400.1</v>
      </c>
      <c r="AA80" s="1">
        <v>1.833</v>
      </c>
      <c r="AB80" s="1">
        <v>6</v>
      </c>
      <c r="AC80" s="1" t="s">
        <v>60</v>
      </c>
      <c r="AD80" s="1">
        <v>5.3699999999999998E-3</v>
      </c>
      <c r="AE80" s="1"/>
    </row>
    <row r="81" spans="1:31">
      <c r="A81" s="1">
        <v>76</v>
      </c>
      <c r="B81" s="2" t="s">
        <v>105</v>
      </c>
      <c r="C81" s="1">
        <v>350</v>
      </c>
      <c r="D81">
        <v>1.1599999999999999</v>
      </c>
      <c r="E81" s="1" t="s">
        <v>0</v>
      </c>
      <c r="F81">
        <v>0.06</v>
      </c>
      <c r="G81">
        <v>2E-3</v>
      </c>
      <c r="H81">
        <v>29</v>
      </c>
      <c r="I81" s="1">
        <v>55</v>
      </c>
      <c r="J81">
        <v>22</v>
      </c>
      <c r="K81" s="1">
        <v>7</v>
      </c>
      <c r="L81">
        <v>5.4</v>
      </c>
      <c r="M81" s="1">
        <f t="shared" si="5"/>
        <v>0.30000000000000004</v>
      </c>
      <c r="N81" s="1">
        <f t="shared" si="6"/>
        <v>0.1090909090909091</v>
      </c>
      <c r="O81" s="1">
        <f t="shared" si="7"/>
        <v>0.40909090909090912</v>
      </c>
      <c r="P81" s="1">
        <f t="shared" si="8"/>
        <v>1.1781818181818184</v>
      </c>
      <c r="Q81">
        <v>11</v>
      </c>
      <c r="R81">
        <v>0</v>
      </c>
      <c r="S81" s="1">
        <v>48</v>
      </c>
      <c r="T81">
        <v>0.1</v>
      </c>
      <c r="U81">
        <v>7.7</v>
      </c>
      <c r="V81" s="1">
        <v>40000</v>
      </c>
      <c r="W81" s="1">
        <v>30</v>
      </c>
      <c r="X81" s="1">
        <v>20</v>
      </c>
      <c r="Y81" s="1" t="s">
        <v>15</v>
      </c>
      <c r="Z81" s="1">
        <v>400.1</v>
      </c>
      <c r="AA81" s="1">
        <v>1.833</v>
      </c>
      <c r="AB81" s="1">
        <v>6</v>
      </c>
      <c r="AC81" s="1" t="s">
        <v>60</v>
      </c>
      <c r="AD81" s="1">
        <v>6.5300000000000002E-3</v>
      </c>
      <c r="AE81" s="1"/>
    </row>
    <row r="82" spans="1:31">
      <c r="A82" s="1">
        <v>77</v>
      </c>
      <c r="B82" s="2" t="s">
        <v>106</v>
      </c>
      <c r="C82" s="1">
        <v>350</v>
      </c>
      <c r="D82">
        <v>1.1599999999999999</v>
      </c>
      <c r="E82" s="1" t="s">
        <v>0</v>
      </c>
      <c r="F82">
        <v>0.97</v>
      </c>
      <c r="G82">
        <v>0.214</v>
      </c>
      <c r="H82">
        <v>220.3</v>
      </c>
      <c r="I82" s="1">
        <v>65</v>
      </c>
      <c r="J82">
        <v>24</v>
      </c>
      <c r="K82" s="1">
        <v>1</v>
      </c>
      <c r="L82">
        <v>4</v>
      </c>
      <c r="M82" s="1">
        <f t="shared" si="5"/>
        <v>0.27692307692307688</v>
      </c>
      <c r="N82" s="1">
        <f t="shared" si="6"/>
        <v>1.3186813186813185E-2</v>
      </c>
      <c r="O82" s="1">
        <f t="shared" si="7"/>
        <v>0.29010989010989008</v>
      </c>
      <c r="P82" s="1">
        <f t="shared" si="8"/>
        <v>0.73846153846153839</v>
      </c>
      <c r="Q82">
        <v>5.5</v>
      </c>
      <c r="R82" s="1">
        <v>0</v>
      </c>
      <c r="S82" s="1">
        <v>48</v>
      </c>
      <c r="T82">
        <v>0.1</v>
      </c>
      <c r="U82">
        <v>7.7</v>
      </c>
      <c r="V82" s="1">
        <v>40000</v>
      </c>
      <c r="W82" s="1">
        <v>30</v>
      </c>
      <c r="X82" s="1">
        <v>20</v>
      </c>
      <c r="Y82" s="1" t="s">
        <v>15</v>
      </c>
      <c r="Z82" s="1">
        <v>400.1</v>
      </c>
      <c r="AA82" s="1">
        <v>1.833</v>
      </c>
      <c r="AB82" s="1">
        <v>6</v>
      </c>
      <c r="AC82" s="1" t="s">
        <v>60</v>
      </c>
      <c r="AD82" s="1">
        <v>4.4000000000000003E-3</v>
      </c>
      <c r="AE82" s="1"/>
    </row>
    <row r="83" spans="1:31">
      <c r="A83" s="1">
        <v>78</v>
      </c>
      <c r="B83" s="2" t="s">
        <v>101</v>
      </c>
      <c r="C83" s="1">
        <v>400</v>
      </c>
      <c r="D83">
        <v>3</v>
      </c>
      <c r="E83" s="1" t="s">
        <v>0</v>
      </c>
      <c r="F83">
        <v>162</v>
      </c>
      <c r="G83">
        <v>0.16200000000000001</v>
      </c>
      <c r="H83">
        <v>1</v>
      </c>
      <c r="I83" s="1">
        <v>80</v>
      </c>
      <c r="J83">
        <v>12</v>
      </c>
      <c r="K83" s="1">
        <v>0.65</v>
      </c>
      <c r="L83">
        <v>2.2000000000000002</v>
      </c>
      <c r="M83" s="1">
        <f t="shared" si="5"/>
        <v>0.11249999999999999</v>
      </c>
      <c r="N83" s="1">
        <f t="shared" si="6"/>
        <v>6.9642857142857145E-3</v>
      </c>
      <c r="O83" s="1">
        <f t="shared" si="7"/>
        <v>0.11946428571428572</v>
      </c>
      <c r="P83" s="1">
        <f t="shared" si="8"/>
        <v>0.33</v>
      </c>
      <c r="Q83">
        <v>4</v>
      </c>
      <c r="R83">
        <v>0</v>
      </c>
      <c r="S83" s="1">
        <v>48</v>
      </c>
      <c r="T83">
        <v>0.1</v>
      </c>
      <c r="U83">
        <v>7.7</v>
      </c>
      <c r="V83" s="1">
        <v>40000</v>
      </c>
      <c r="W83" s="1">
        <v>30</v>
      </c>
      <c r="X83" s="1">
        <v>20</v>
      </c>
      <c r="Y83" s="1" t="s">
        <v>16</v>
      </c>
      <c r="Z83" s="1">
        <v>414.08</v>
      </c>
      <c r="AA83" s="1">
        <v>1.875</v>
      </c>
      <c r="AB83" s="1">
        <v>8</v>
      </c>
      <c r="AC83" s="1" t="s">
        <v>59</v>
      </c>
      <c r="AD83" s="1">
        <v>9.4699999999999993E-3</v>
      </c>
      <c r="AE83" s="1"/>
    </row>
    <row r="84" spans="1:31">
      <c r="A84" s="1">
        <v>79</v>
      </c>
      <c r="B84" s="2" t="s">
        <v>102</v>
      </c>
      <c r="C84" s="1">
        <v>350</v>
      </c>
      <c r="D84">
        <v>1.1599999999999999</v>
      </c>
      <c r="E84" s="1" t="s">
        <v>0</v>
      </c>
      <c r="F84">
        <v>0.61</v>
      </c>
      <c r="G84">
        <v>0.02</v>
      </c>
      <c r="H84">
        <v>33.4</v>
      </c>
      <c r="I84" s="1">
        <v>70</v>
      </c>
      <c r="J84">
        <v>26</v>
      </c>
      <c r="K84" s="1">
        <v>0.56999999999999995</v>
      </c>
      <c r="L84">
        <v>4</v>
      </c>
      <c r="M84" s="1">
        <f t="shared" si="5"/>
        <v>0.27857142857142858</v>
      </c>
      <c r="N84" s="1">
        <f t="shared" si="6"/>
        <v>6.9795918367346931E-3</v>
      </c>
      <c r="O84" s="1">
        <f t="shared" si="7"/>
        <v>0.28555102040816327</v>
      </c>
      <c r="P84" s="1">
        <f t="shared" si="8"/>
        <v>0.68571428571428572</v>
      </c>
      <c r="Q84">
        <v>4.5</v>
      </c>
      <c r="R84" s="1">
        <v>0</v>
      </c>
      <c r="S84" s="1">
        <v>48</v>
      </c>
      <c r="T84">
        <v>0.1</v>
      </c>
      <c r="U84">
        <v>7.7</v>
      </c>
      <c r="V84" s="1">
        <v>40000</v>
      </c>
      <c r="W84" s="1">
        <v>30</v>
      </c>
      <c r="X84" s="1">
        <v>20</v>
      </c>
      <c r="Y84" s="1" t="s">
        <v>16</v>
      </c>
      <c r="Z84" s="1">
        <v>414.08</v>
      </c>
      <c r="AA84" s="1">
        <v>1.875</v>
      </c>
      <c r="AB84" s="1">
        <v>8</v>
      </c>
      <c r="AC84" s="1" t="s">
        <v>59</v>
      </c>
      <c r="AD84" s="1">
        <v>5.8300000000000001E-3</v>
      </c>
      <c r="AE84" s="1"/>
    </row>
    <row r="85" spans="1:31">
      <c r="A85" s="1">
        <v>80</v>
      </c>
      <c r="B85" s="2" t="s">
        <v>103</v>
      </c>
      <c r="C85" s="1">
        <v>350</v>
      </c>
      <c r="D85">
        <v>1.1599999999999999</v>
      </c>
      <c r="E85" s="1" t="s">
        <v>0</v>
      </c>
      <c r="F85">
        <v>1.3</v>
      </c>
      <c r="G85">
        <v>3.1E-2</v>
      </c>
      <c r="H85">
        <v>24.6</v>
      </c>
      <c r="I85" s="1">
        <v>65</v>
      </c>
      <c r="J85">
        <v>22</v>
      </c>
      <c r="K85" s="1">
        <v>0.6</v>
      </c>
      <c r="L85">
        <v>4.4000000000000004</v>
      </c>
      <c r="M85" s="1">
        <f t="shared" si="5"/>
        <v>0.25384615384615383</v>
      </c>
      <c r="N85" s="1">
        <f t="shared" si="6"/>
        <v>7.9120879120879121E-3</v>
      </c>
      <c r="O85" s="1">
        <f t="shared" si="7"/>
        <v>0.26175824175824175</v>
      </c>
      <c r="P85" s="1">
        <f t="shared" si="8"/>
        <v>0.81230769230769229</v>
      </c>
      <c r="Q85">
        <v>5</v>
      </c>
      <c r="R85">
        <v>0</v>
      </c>
      <c r="S85" s="1">
        <v>48</v>
      </c>
      <c r="T85">
        <v>0.1</v>
      </c>
      <c r="U85">
        <v>7.7</v>
      </c>
      <c r="V85" s="1">
        <v>40000</v>
      </c>
      <c r="W85" s="1">
        <v>30</v>
      </c>
      <c r="X85" s="1">
        <v>20</v>
      </c>
      <c r="Y85" s="1" t="s">
        <v>16</v>
      </c>
      <c r="Z85" s="1">
        <v>414.08</v>
      </c>
      <c r="AA85" s="1">
        <v>1.875</v>
      </c>
      <c r="AB85" s="1">
        <v>8</v>
      </c>
      <c r="AC85" s="1" t="s">
        <v>59</v>
      </c>
      <c r="AD85" s="1">
        <v>5.1900000000000002E-3</v>
      </c>
      <c r="AE85" s="1"/>
    </row>
    <row r="86" spans="1:31">
      <c r="A86" s="1">
        <v>81</v>
      </c>
      <c r="B86" s="2" t="s">
        <v>104</v>
      </c>
      <c r="C86" s="1">
        <v>350</v>
      </c>
      <c r="D86">
        <v>1.1599999999999999</v>
      </c>
      <c r="E86" s="1" t="s">
        <v>0</v>
      </c>
      <c r="F86">
        <v>3</v>
      </c>
      <c r="G86">
        <v>0.14299999999999999</v>
      </c>
      <c r="H86">
        <v>47.71</v>
      </c>
      <c r="I86" s="1">
        <v>45</v>
      </c>
      <c r="J86">
        <v>25</v>
      </c>
      <c r="K86" s="1">
        <v>4</v>
      </c>
      <c r="L86">
        <v>3.3</v>
      </c>
      <c r="M86" s="1">
        <f t="shared" si="5"/>
        <v>0.41666666666666669</v>
      </c>
      <c r="N86" s="1">
        <f t="shared" si="6"/>
        <v>7.6190476190476183E-2</v>
      </c>
      <c r="O86" s="1">
        <f t="shared" si="7"/>
        <v>0.49285714285714283</v>
      </c>
      <c r="P86" s="1">
        <f t="shared" si="8"/>
        <v>0.88</v>
      </c>
      <c r="Q86">
        <v>31</v>
      </c>
      <c r="R86" s="1">
        <v>0</v>
      </c>
      <c r="S86" s="1">
        <v>48</v>
      </c>
      <c r="T86">
        <v>0.1</v>
      </c>
      <c r="U86">
        <v>7.7</v>
      </c>
      <c r="V86" s="1">
        <v>40000</v>
      </c>
      <c r="W86" s="1">
        <v>30</v>
      </c>
      <c r="X86" s="1">
        <v>20</v>
      </c>
      <c r="Y86" s="1" t="s">
        <v>16</v>
      </c>
      <c r="Z86" s="1">
        <v>414.08</v>
      </c>
      <c r="AA86" s="1">
        <v>1.875</v>
      </c>
      <c r="AB86" s="1">
        <v>8</v>
      </c>
      <c r="AC86" s="1" t="s">
        <v>59</v>
      </c>
      <c r="AD86" s="1">
        <v>6.2100000000000002E-3</v>
      </c>
      <c r="AE86" s="1"/>
    </row>
    <row r="87" spans="1:31">
      <c r="A87" s="1">
        <v>82</v>
      </c>
      <c r="B87" s="2" t="s">
        <v>105</v>
      </c>
      <c r="C87" s="1">
        <v>350</v>
      </c>
      <c r="D87">
        <v>1.1599999999999999</v>
      </c>
      <c r="E87" s="1" t="s">
        <v>0</v>
      </c>
      <c r="F87">
        <v>0.06</v>
      </c>
      <c r="G87">
        <v>2E-3</v>
      </c>
      <c r="H87">
        <v>29</v>
      </c>
      <c r="I87" s="1">
        <v>55</v>
      </c>
      <c r="J87">
        <v>22</v>
      </c>
      <c r="K87" s="1">
        <v>7</v>
      </c>
      <c r="L87">
        <v>5.4</v>
      </c>
      <c r="M87" s="1">
        <f t="shared" si="5"/>
        <v>0.30000000000000004</v>
      </c>
      <c r="N87" s="1">
        <f t="shared" si="6"/>
        <v>0.1090909090909091</v>
      </c>
      <c r="O87" s="1">
        <f t="shared" si="7"/>
        <v>0.40909090909090912</v>
      </c>
      <c r="P87" s="1">
        <f t="shared" si="8"/>
        <v>1.1781818181818184</v>
      </c>
      <c r="Q87">
        <v>11</v>
      </c>
      <c r="R87">
        <v>0</v>
      </c>
      <c r="S87" s="1">
        <v>48</v>
      </c>
      <c r="T87">
        <v>0.1</v>
      </c>
      <c r="U87">
        <v>7.7</v>
      </c>
      <c r="V87" s="1">
        <v>40000</v>
      </c>
      <c r="W87" s="1">
        <v>30</v>
      </c>
      <c r="X87" s="1">
        <v>20</v>
      </c>
      <c r="Y87" s="1" t="s">
        <v>16</v>
      </c>
      <c r="Z87" s="1">
        <v>414.08</v>
      </c>
      <c r="AA87" s="1">
        <v>1.875</v>
      </c>
      <c r="AB87" s="1">
        <v>8</v>
      </c>
      <c r="AC87" s="1" t="s">
        <v>59</v>
      </c>
      <c r="AD87" s="1">
        <v>6.79E-3</v>
      </c>
      <c r="AE87" s="1"/>
    </row>
    <row r="88" spans="1:31">
      <c r="A88" s="1">
        <v>83</v>
      </c>
      <c r="B88" s="2" t="s">
        <v>106</v>
      </c>
      <c r="C88" s="1">
        <v>350</v>
      </c>
      <c r="D88">
        <v>1.1599999999999999</v>
      </c>
      <c r="E88" s="1" t="s">
        <v>0</v>
      </c>
      <c r="F88">
        <v>0.97</v>
      </c>
      <c r="G88">
        <v>0.214</v>
      </c>
      <c r="H88">
        <v>220.3</v>
      </c>
      <c r="I88" s="1">
        <v>65</v>
      </c>
      <c r="J88">
        <v>24</v>
      </c>
      <c r="K88" s="1">
        <v>1</v>
      </c>
      <c r="L88">
        <v>4</v>
      </c>
      <c r="M88" s="1">
        <f t="shared" si="5"/>
        <v>0.27692307692307688</v>
      </c>
      <c r="N88" s="1">
        <f t="shared" si="6"/>
        <v>1.3186813186813185E-2</v>
      </c>
      <c r="O88" s="1">
        <f t="shared" si="7"/>
        <v>0.29010989010989008</v>
      </c>
      <c r="P88" s="1">
        <f t="shared" si="8"/>
        <v>0.73846153846153839</v>
      </c>
      <c r="Q88">
        <v>5.5</v>
      </c>
      <c r="R88" s="1">
        <v>0</v>
      </c>
      <c r="S88" s="1">
        <v>48</v>
      </c>
      <c r="T88">
        <v>0.1</v>
      </c>
      <c r="U88">
        <v>7.7</v>
      </c>
      <c r="V88" s="1">
        <v>40000</v>
      </c>
      <c r="W88" s="1">
        <v>30</v>
      </c>
      <c r="X88" s="1">
        <v>20</v>
      </c>
      <c r="Y88" s="1" t="s">
        <v>16</v>
      </c>
      <c r="Z88" s="1">
        <v>414.08</v>
      </c>
      <c r="AA88" s="1">
        <v>1.875</v>
      </c>
      <c r="AB88" s="1">
        <v>8</v>
      </c>
      <c r="AC88" s="1" t="s">
        <v>59</v>
      </c>
      <c r="AD88" s="1">
        <v>5.45E-3</v>
      </c>
      <c r="AE88" s="1"/>
    </row>
    <row r="89" spans="1:31">
      <c r="A89" s="1">
        <v>84</v>
      </c>
      <c r="B89" s="2" t="s">
        <v>101</v>
      </c>
      <c r="C89" s="1">
        <v>400</v>
      </c>
      <c r="D89">
        <v>3</v>
      </c>
      <c r="E89" s="1" t="s">
        <v>0</v>
      </c>
      <c r="F89">
        <v>162</v>
      </c>
      <c r="G89">
        <v>0.16200000000000001</v>
      </c>
      <c r="H89">
        <v>1</v>
      </c>
      <c r="I89" s="1">
        <v>80</v>
      </c>
      <c r="J89">
        <v>12</v>
      </c>
      <c r="K89" s="1">
        <v>0.65</v>
      </c>
      <c r="L89">
        <v>2.2000000000000002</v>
      </c>
      <c r="M89" s="1">
        <f t="shared" si="5"/>
        <v>0.11249999999999999</v>
      </c>
      <c r="N89" s="1">
        <f t="shared" si="6"/>
        <v>6.9642857142857145E-3</v>
      </c>
      <c r="O89" s="1">
        <f t="shared" si="7"/>
        <v>0.11946428571428572</v>
      </c>
      <c r="P89" s="1">
        <f t="shared" si="8"/>
        <v>0.33</v>
      </c>
      <c r="Q89">
        <v>4</v>
      </c>
      <c r="R89">
        <v>0</v>
      </c>
      <c r="S89" s="1">
        <v>48</v>
      </c>
      <c r="T89">
        <v>0.4</v>
      </c>
      <c r="U89">
        <v>7.7</v>
      </c>
      <c r="V89" s="1">
        <v>40000</v>
      </c>
      <c r="W89" s="1">
        <v>30</v>
      </c>
      <c r="X89" s="1">
        <v>20</v>
      </c>
      <c r="Y89" s="1" t="s">
        <v>17</v>
      </c>
      <c r="Z89" s="1">
        <v>464.1</v>
      </c>
      <c r="AA89" s="1">
        <v>1.889</v>
      </c>
      <c r="AB89" s="1">
        <v>9</v>
      </c>
      <c r="AC89" s="1" t="s">
        <v>59</v>
      </c>
      <c r="AD89" s="1">
        <v>9.7999999999999997E-3</v>
      </c>
      <c r="AE89" s="1"/>
    </row>
    <row r="90" spans="1:31">
      <c r="A90" s="1">
        <v>85</v>
      </c>
      <c r="B90" s="2" t="s">
        <v>102</v>
      </c>
      <c r="C90" s="1">
        <v>350</v>
      </c>
      <c r="D90">
        <v>1.1599999999999999</v>
      </c>
      <c r="E90" s="1" t="s">
        <v>0</v>
      </c>
      <c r="F90">
        <v>0.61</v>
      </c>
      <c r="G90">
        <v>0.02</v>
      </c>
      <c r="H90">
        <v>33.4</v>
      </c>
      <c r="I90" s="1">
        <v>70</v>
      </c>
      <c r="J90">
        <v>26</v>
      </c>
      <c r="K90" s="1">
        <v>0.56999999999999995</v>
      </c>
      <c r="L90">
        <v>4</v>
      </c>
      <c r="M90" s="1">
        <f t="shared" si="5"/>
        <v>0.27857142857142858</v>
      </c>
      <c r="N90" s="1">
        <f t="shared" si="6"/>
        <v>6.9795918367346931E-3</v>
      </c>
      <c r="O90" s="1">
        <f t="shared" si="7"/>
        <v>0.28555102040816327</v>
      </c>
      <c r="P90" s="1">
        <f t="shared" si="8"/>
        <v>0.68571428571428572</v>
      </c>
      <c r="Q90">
        <v>4.5</v>
      </c>
      <c r="R90" s="1">
        <v>0</v>
      </c>
      <c r="S90" s="1">
        <v>48</v>
      </c>
      <c r="T90">
        <v>0.4</v>
      </c>
      <c r="U90">
        <v>7.7</v>
      </c>
      <c r="V90" s="1">
        <v>40000</v>
      </c>
      <c r="W90" s="1">
        <v>30</v>
      </c>
      <c r="X90" s="1">
        <v>20</v>
      </c>
      <c r="Y90" s="1" t="s">
        <v>17</v>
      </c>
      <c r="Z90" s="1">
        <v>464.1</v>
      </c>
      <c r="AA90" s="1">
        <v>1.889</v>
      </c>
      <c r="AB90" s="1">
        <v>9</v>
      </c>
      <c r="AC90" s="1" t="s">
        <v>59</v>
      </c>
      <c r="AD90" s="1">
        <v>7.0899999999999999E-3</v>
      </c>
      <c r="AE90" s="1"/>
    </row>
    <row r="91" spans="1:31">
      <c r="A91" s="1">
        <v>86</v>
      </c>
      <c r="B91" s="2" t="s">
        <v>103</v>
      </c>
      <c r="C91" s="1">
        <v>350</v>
      </c>
      <c r="D91">
        <v>1.1599999999999999</v>
      </c>
      <c r="E91" s="1" t="s">
        <v>0</v>
      </c>
      <c r="F91">
        <v>1.3</v>
      </c>
      <c r="G91">
        <v>3.1E-2</v>
      </c>
      <c r="H91">
        <v>24.6</v>
      </c>
      <c r="I91" s="1">
        <v>65</v>
      </c>
      <c r="J91">
        <v>22</v>
      </c>
      <c r="K91" s="1">
        <v>0.6</v>
      </c>
      <c r="L91">
        <v>4.4000000000000004</v>
      </c>
      <c r="M91" s="1">
        <f t="shared" si="5"/>
        <v>0.25384615384615383</v>
      </c>
      <c r="N91" s="1">
        <f t="shared" si="6"/>
        <v>7.9120879120879121E-3</v>
      </c>
      <c r="O91" s="1">
        <f t="shared" si="7"/>
        <v>0.26175824175824175</v>
      </c>
      <c r="P91" s="1">
        <f t="shared" si="8"/>
        <v>0.81230769230769229</v>
      </c>
      <c r="Q91">
        <v>5</v>
      </c>
      <c r="R91">
        <v>0</v>
      </c>
      <c r="S91" s="1">
        <v>48</v>
      </c>
      <c r="T91">
        <v>0.4</v>
      </c>
      <c r="U91">
        <v>7.7</v>
      </c>
      <c r="V91" s="1">
        <v>40000</v>
      </c>
      <c r="W91" s="1">
        <v>30</v>
      </c>
      <c r="X91" s="1">
        <v>20</v>
      </c>
      <c r="Y91" s="1" t="s">
        <v>17</v>
      </c>
      <c r="Z91" s="1">
        <v>464.1</v>
      </c>
      <c r="AA91" s="1">
        <v>1.889</v>
      </c>
      <c r="AB91" s="1">
        <v>9</v>
      </c>
      <c r="AC91" s="1" t="s">
        <v>59</v>
      </c>
      <c r="AD91" s="1">
        <v>8.1499999999999993E-3</v>
      </c>
      <c r="AE91" s="1"/>
    </row>
    <row r="92" spans="1:31">
      <c r="A92" s="1">
        <v>87</v>
      </c>
      <c r="B92" s="2" t="s">
        <v>104</v>
      </c>
      <c r="C92" s="1">
        <v>350</v>
      </c>
      <c r="D92">
        <v>1.1599999999999999</v>
      </c>
      <c r="E92" s="1" t="s">
        <v>0</v>
      </c>
      <c r="F92">
        <v>3</v>
      </c>
      <c r="G92">
        <v>0.14299999999999999</v>
      </c>
      <c r="H92">
        <v>47.71</v>
      </c>
      <c r="I92" s="1">
        <v>45</v>
      </c>
      <c r="J92">
        <v>25</v>
      </c>
      <c r="K92" s="1">
        <v>4</v>
      </c>
      <c r="L92">
        <v>3.3</v>
      </c>
      <c r="M92" s="1">
        <f t="shared" si="5"/>
        <v>0.41666666666666669</v>
      </c>
      <c r="N92" s="1">
        <f t="shared" si="6"/>
        <v>7.6190476190476183E-2</v>
      </c>
      <c r="O92" s="1">
        <f t="shared" si="7"/>
        <v>0.49285714285714283</v>
      </c>
      <c r="P92" s="1">
        <f t="shared" si="8"/>
        <v>0.88</v>
      </c>
      <c r="Q92">
        <v>31</v>
      </c>
      <c r="R92" s="1">
        <v>0</v>
      </c>
      <c r="S92" s="1">
        <v>48</v>
      </c>
      <c r="T92">
        <v>0.4</v>
      </c>
      <c r="U92">
        <v>7.7</v>
      </c>
      <c r="V92" s="1">
        <v>40000</v>
      </c>
      <c r="W92" s="1">
        <v>30</v>
      </c>
      <c r="X92" s="1">
        <v>20</v>
      </c>
      <c r="Y92" s="1" t="s">
        <v>17</v>
      </c>
      <c r="Z92" s="1">
        <v>464.1</v>
      </c>
      <c r="AA92" s="1">
        <v>1.889</v>
      </c>
      <c r="AB92" s="1">
        <v>9</v>
      </c>
      <c r="AC92" s="1" t="s">
        <v>59</v>
      </c>
      <c r="AD92" s="1">
        <v>7.3099999999999997E-3</v>
      </c>
      <c r="AE92" s="1"/>
    </row>
    <row r="93" spans="1:31">
      <c r="A93" s="1">
        <v>88</v>
      </c>
      <c r="B93" s="2" t="s">
        <v>105</v>
      </c>
      <c r="C93" s="1">
        <v>350</v>
      </c>
      <c r="D93">
        <v>1.1599999999999999</v>
      </c>
      <c r="E93" s="1" t="s">
        <v>0</v>
      </c>
      <c r="F93">
        <v>0.06</v>
      </c>
      <c r="G93">
        <v>2E-3</v>
      </c>
      <c r="H93">
        <v>29</v>
      </c>
      <c r="I93" s="1">
        <v>55</v>
      </c>
      <c r="J93">
        <v>22</v>
      </c>
      <c r="K93" s="1">
        <v>7</v>
      </c>
      <c r="L93">
        <v>5.4</v>
      </c>
      <c r="M93" s="1">
        <f t="shared" si="5"/>
        <v>0.30000000000000004</v>
      </c>
      <c r="N93" s="1">
        <f t="shared" si="6"/>
        <v>0.1090909090909091</v>
      </c>
      <c r="O93" s="1">
        <f t="shared" si="7"/>
        <v>0.40909090909090912</v>
      </c>
      <c r="P93" s="1">
        <f t="shared" si="8"/>
        <v>1.1781818181818184</v>
      </c>
      <c r="Q93">
        <v>11</v>
      </c>
      <c r="R93">
        <v>0</v>
      </c>
      <c r="S93" s="1">
        <v>48</v>
      </c>
      <c r="T93">
        <v>0.4</v>
      </c>
      <c r="U93">
        <v>7.7</v>
      </c>
      <c r="V93" s="1">
        <v>40000</v>
      </c>
      <c r="W93" s="1">
        <v>30</v>
      </c>
      <c r="X93" s="1">
        <v>20</v>
      </c>
      <c r="Y93" s="1" t="s">
        <v>17</v>
      </c>
      <c r="Z93" s="1">
        <v>464.1</v>
      </c>
      <c r="AA93" s="1">
        <v>1.889</v>
      </c>
      <c r="AB93" s="1">
        <v>9</v>
      </c>
      <c r="AC93" s="1" t="s">
        <v>59</v>
      </c>
      <c r="AD93" s="1">
        <v>7.4700000000000001E-3</v>
      </c>
      <c r="AE93" s="1"/>
    </row>
    <row r="94" spans="1:31">
      <c r="A94" s="1">
        <v>89</v>
      </c>
      <c r="B94" s="2" t="s">
        <v>106</v>
      </c>
      <c r="C94" s="1">
        <v>350</v>
      </c>
      <c r="D94">
        <v>1.1599999999999999</v>
      </c>
      <c r="E94" s="1" t="s">
        <v>0</v>
      </c>
      <c r="F94">
        <v>0.97</v>
      </c>
      <c r="G94">
        <v>0.214</v>
      </c>
      <c r="H94">
        <v>220.3</v>
      </c>
      <c r="I94" s="1">
        <v>65</v>
      </c>
      <c r="J94">
        <v>24</v>
      </c>
      <c r="K94" s="1">
        <v>1</v>
      </c>
      <c r="L94">
        <v>4</v>
      </c>
      <c r="M94" s="1">
        <f t="shared" si="5"/>
        <v>0.27692307692307688</v>
      </c>
      <c r="N94" s="1">
        <f t="shared" si="6"/>
        <v>1.3186813186813185E-2</v>
      </c>
      <c r="O94" s="1">
        <f t="shared" si="7"/>
        <v>0.29010989010989008</v>
      </c>
      <c r="P94" s="1">
        <f t="shared" si="8"/>
        <v>0.73846153846153839</v>
      </c>
      <c r="Q94">
        <v>5.5</v>
      </c>
      <c r="R94" s="1">
        <v>0</v>
      </c>
      <c r="S94" s="1">
        <v>48</v>
      </c>
      <c r="T94">
        <v>0.4</v>
      </c>
      <c r="U94">
        <v>7.7</v>
      </c>
      <c r="V94" s="1">
        <v>40000</v>
      </c>
      <c r="W94" s="1">
        <v>30</v>
      </c>
      <c r="X94" s="1">
        <v>20</v>
      </c>
      <c r="Y94" s="1" t="s">
        <v>17</v>
      </c>
      <c r="Z94" s="1">
        <v>464.1</v>
      </c>
      <c r="AA94" s="1">
        <v>1.889</v>
      </c>
      <c r="AB94" s="1">
        <v>9</v>
      </c>
      <c r="AC94" s="1" t="s">
        <v>59</v>
      </c>
      <c r="AD94" s="1">
        <v>6.0299999999999998E-3</v>
      </c>
      <c r="AE94" s="1"/>
    </row>
    <row r="95" spans="1:31">
      <c r="A95" s="1">
        <v>90</v>
      </c>
      <c r="B95" s="2" t="s">
        <v>101</v>
      </c>
      <c r="C95" s="1">
        <v>400</v>
      </c>
      <c r="D95">
        <v>3</v>
      </c>
      <c r="E95" s="1" t="s">
        <v>0</v>
      </c>
      <c r="F95">
        <v>162</v>
      </c>
      <c r="G95">
        <v>0.16200000000000001</v>
      </c>
      <c r="H95">
        <v>1</v>
      </c>
      <c r="I95" s="1">
        <v>80</v>
      </c>
      <c r="J95">
        <v>12</v>
      </c>
      <c r="K95" s="1">
        <v>0.65</v>
      </c>
      <c r="L95">
        <v>2.2000000000000002</v>
      </c>
      <c r="M95" s="1">
        <f t="shared" si="5"/>
        <v>0.11249999999999999</v>
      </c>
      <c r="N95" s="1">
        <f t="shared" si="6"/>
        <v>6.9642857142857145E-3</v>
      </c>
      <c r="O95" s="1">
        <f t="shared" si="7"/>
        <v>0.11946428571428572</v>
      </c>
      <c r="P95" s="1">
        <f t="shared" si="8"/>
        <v>0.33</v>
      </c>
      <c r="Q95">
        <v>4</v>
      </c>
      <c r="R95">
        <v>0</v>
      </c>
      <c r="S95" s="1">
        <v>48</v>
      </c>
      <c r="T95">
        <v>0.5</v>
      </c>
      <c r="U95">
        <v>7.7</v>
      </c>
      <c r="V95" s="1">
        <v>40000</v>
      </c>
      <c r="W95" s="1">
        <v>30</v>
      </c>
      <c r="X95" s="1">
        <v>20</v>
      </c>
      <c r="Y95" s="1" t="s">
        <v>18</v>
      </c>
      <c r="Z95" s="1">
        <v>614.1</v>
      </c>
      <c r="AA95" s="1">
        <v>1.917</v>
      </c>
      <c r="AB95" s="1">
        <v>12</v>
      </c>
      <c r="AC95" s="1" t="s">
        <v>59</v>
      </c>
      <c r="AD95" s="1">
        <v>0.01</v>
      </c>
      <c r="AE95" s="1"/>
    </row>
    <row r="96" spans="1:31">
      <c r="A96" s="1">
        <v>91</v>
      </c>
      <c r="B96" s="2" t="s">
        <v>102</v>
      </c>
      <c r="C96" s="1">
        <v>350</v>
      </c>
      <c r="D96">
        <v>1.1599999999999999</v>
      </c>
      <c r="E96" s="1" t="s">
        <v>0</v>
      </c>
      <c r="F96">
        <v>0.61</v>
      </c>
      <c r="G96">
        <v>0.02</v>
      </c>
      <c r="H96">
        <v>33.4</v>
      </c>
      <c r="I96" s="1">
        <v>70</v>
      </c>
      <c r="J96">
        <v>26</v>
      </c>
      <c r="K96" s="1">
        <v>0.56999999999999995</v>
      </c>
      <c r="L96">
        <v>4</v>
      </c>
      <c r="M96" s="1">
        <f t="shared" si="5"/>
        <v>0.27857142857142858</v>
      </c>
      <c r="N96" s="1">
        <f t="shared" si="6"/>
        <v>6.9795918367346931E-3</v>
      </c>
      <c r="O96" s="1">
        <f t="shared" si="7"/>
        <v>0.28555102040816327</v>
      </c>
      <c r="P96" s="1">
        <f t="shared" si="8"/>
        <v>0.68571428571428572</v>
      </c>
      <c r="Q96">
        <v>4.5</v>
      </c>
      <c r="R96" s="1">
        <v>0</v>
      </c>
      <c r="S96" s="1">
        <v>48</v>
      </c>
      <c r="T96">
        <v>0.5</v>
      </c>
      <c r="U96">
        <v>7.7</v>
      </c>
      <c r="V96" s="1">
        <v>40000</v>
      </c>
      <c r="W96" s="1">
        <v>30</v>
      </c>
      <c r="X96" s="1">
        <v>20</v>
      </c>
      <c r="Y96" s="1" t="s">
        <v>18</v>
      </c>
      <c r="Z96" s="1">
        <v>614.1</v>
      </c>
      <c r="AA96" s="1">
        <v>1.917</v>
      </c>
      <c r="AB96" s="1">
        <v>12</v>
      </c>
      <c r="AC96" s="1" t="s">
        <v>59</v>
      </c>
      <c r="AD96" s="1">
        <v>9.4000000000000004E-3</v>
      </c>
      <c r="AE96" s="1"/>
    </row>
    <row r="97" spans="1:31">
      <c r="A97" s="1">
        <v>92</v>
      </c>
      <c r="B97" s="2" t="s">
        <v>103</v>
      </c>
      <c r="C97" s="1">
        <v>350</v>
      </c>
      <c r="D97">
        <v>1.1599999999999999</v>
      </c>
      <c r="E97" s="1" t="s">
        <v>0</v>
      </c>
      <c r="F97">
        <v>1.3</v>
      </c>
      <c r="G97">
        <v>3.1E-2</v>
      </c>
      <c r="H97">
        <v>24.6</v>
      </c>
      <c r="I97" s="1">
        <v>65</v>
      </c>
      <c r="J97">
        <v>22</v>
      </c>
      <c r="K97" s="1">
        <v>0.6</v>
      </c>
      <c r="L97">
        <v>4.4000000000000004</v>
      </c>
      <c r="M97" s="1">
        <f t="shared" si="5"/>
        <v>0.25384615384615383</v>
      </c>
      <c r="N97" s="1">
        <f t="shared" si="6"/>
        <v>7.9120879120879121E-3</v>
      </c>
      <c r="O97" s="1">
        <f t="shared" si="7"/>
        <v>0.26175824175824175</v>
      </c>
      <c r="P97" s="1">
        <f t="shared" si="8"/>
        <v>0.81230769230769229</v>
      </c>
      <c r="Q97">
        <v>5</v>
      </c>
      <c r="R97">
        <v>0</v>
      </c>
      <c r="S97" s="1">
        <v>48</v>
      </c>
      <c r="T97">
        <v>0.5</v>
      </c>
      <c r="U97">
        <v>7.7</v>
      </c>
      <c r="V97" s="1">
        <v>40000</v>
      </c>
      <c r="W97" s="1">
        <v>30</v>
      </c>
      <c r="X97" s="1">
        <v>20</v>
      </c>
      <c r="Y97" s="1" t="s">
        <v>18</v>
      </c>
      <c r="Z97" s="1">
        <v>614.1</v>
      </c>
      <c r="AA97" s="1">
        <v>1.917</v>
      </c>
      <c r="AB97" s="1">
        <v>12</v>
      </c>
      <c r="AC97" s="1" t="s">
        <v>59</v>
      </c>
      <c r="AD97" s="1">
        <v>9.8099999999999993E-3</v>
      </c>
      <c r="AE97" s="1"/>
    </row>
    <row r="98" spans="1:31">
      <c r="A98" s="1">
        <v>93</v>
      </c>
      <c r="B98" s="2" t="s">
        <v>104</v>
      </c>
      <c r="C98" s="1">
        <v>350</v>
      </c>
      <c r="D98">
        <v>1.1599999999999999</v>
      </c>
      <c r="E98" s="1" t="s">
        <v>0</v>
      </c>
      <c r="F98">
        <v>3</v>
      </c>
      <c r="G98">
        <v>0.14299999999999999</v>
      </c>
      <c r="H98">
        <v>47.71</v>
      </c>
      <c r="I98" s="1">
        <v>45</v>
      </c>
      <c r="J98">
        <v>25</v>
      </c>
      <c r="K98" s="1">
        <v>4</v>
      </c>
      <c r="L98">
        <v>3.3</v>
      </c>
      <c r="M98" s="1">
        <f t="shared" si="5"/>
        <v>0.41666666666666669</v>
      </c>
      <c r="N98" s="1">
        <f t="shared" si="6"/>
        <v>7.6190476190476183E-2</v>
      </c>
      <c r="O98" s="1">
        <f t="shared" si="7"/>
        <v>0.49285714285714283</v>
      </c>
      <c r="P98" s="1">
        <f t="shared" si="8"/>
        <v>0.88</v>
      </c>
      <c r="Q98">
        <v>31</v>
      </c>
      <c r="R98" s="1">
        <v>0</v>
      </c>
      <c r="S98" s="1">
        <v>48</v>
      </c>
      <c r="T98">
        <v>0.5</v>
      </c>
      <c r="U98">
        <v>7.7</v>
      </c>
      <c r="V98" s="1">
        <v>40000</v>
      </c>
      <c r="W98" s="1">
        <v>30</v>
      </c>
      <c r="X98" s="1">
        <v>20</v>
      </c>
      <c r="Y98" s="1" t="s">
        <v>18</v>
      </c>
      <c r="Z98" s="1">
        <v>614.1</v>
      </c>
      <c r="AA98" s="1">
        <v>1.917</v>
      </c>
      <c r="AB98" s="1">
        <v>12</v>
      </c>
      <c r="AC98" s="1" t="s">
        <v>59</v>
      </c>
      <c r="AD98" s="1">
        <v>9.8600000000000007E-3</v>
      </c>
      <c r="AE98" s="1"/>
    </row>
    <row r="99" spans="1:31">
      <c r="A99" s="1">
        <v>94</v>
      </c>
      <c r="B99" s="2" t="s">
        <v>105</v>
      </c>
      <c r="C99" s="1">
        <v>350</v>
      </c>
      <c r="D99">
        <v>1.1599999999999999</v>
      </c>
      <c r="E99" s="1" t="s">
        <v>0</v>
      </c>
      <c r="F99">
        <v>0.06</v>
      </c>
      <c r="G99">
        <v>2E-3</v>
      </c>
      <c r="H99">
        <v>29</v>
      </c>
      <c r="I99" s="1">
        <v>55</v>
      </c>
      <c r="J99">
        <v>22</v>
      </c>
      <c r="K99" s="1">
        <v>7</v>
      </c>
      <c r="L99">
        <v>5.4</v>
      </c>
      <c r="M99" s="1">
        <f t="shared" si="5"/>
        <v>0.30000000000000004</v>
      </c>
      <c r="N99" s="1">
        <f t="shared" si="6"/>
        <v>0.1090909090909091</v>
      </c>
      <c r="O99" s="1">
        <f t="shared" si="7"/>
        <v>0.40909090909090912</v>
      </c>
      <c r="P99" s="1">
        <f t="shared" si="8"/>
        <v>1.1781818181818184</v>
      </c>
      <c r="Q99">
        <v>11</v>
      </c>
      <c r="R99">
        <v>0</v>
      </c>
      <c r="S99" s="1">
        <v>48</v>
      </c>
      <c r="T99">
        <v>0.5</v>
      </c>
      <c r="U99">
        <v>7.7</v>
      </c>
      <c r="V99" s="1">
        <v>40000</v>
      </c>
      <c r="W99" s="1">
        <v>30</v>
      </c>
      <c r="X99" s="1">
        <v>20</v>
      </c>
      <c r="Y99" s="1" t="s">
        <v>18</v>
      </c>
      <c r="Z99" s="1">
        <v>614.1</v>
      </c>
      <c r="AA99" s="1">
        <v>1.917</v>
      </c>
      <c r="AB99" s="1">
        <v>12</v>
      </c>
      <c r="AC99" s="1" t="s">
        <v>59</v>
      </c>
      <c r="AD99" s="1">
        <v>8.8100000000000001E-3</v>
      </c>
      <c r="AE99" s="1"/>
    </row>
    <row r="100" spans="1:31">
      <c r="A100" s="1">
        <v>95</v>
      </c>
      <c r="B100" s="2" t="s">
        <v>106</v>
      </c>
      <c r="C100" s="1">
        <v>350</v>
      </c>
      <c r="D100">
        <v>1.1599999999999999</v>
      </c>
      <c r="E100" s="1" t="s">
        <v>0</v>
      </c>
      <c r="F100">
        <v>0.97</v>
      </c>
      <c r="G100">
        <v>0.214</v>
      </c>
      <c r="H100">
        <v>220.3</v>
      </c>
      <c r="I100" s="1">
        <v>65</v>
      </c>
      <c r="J100">
        <v>24</v>
      </c>
      <c r="K100" s="1">
        <v>1</v>
      </c>
      <c r="L100">
        <v>4</v>
      </c>
      <c r="M100" s="1">
        <f t="shared" si="5"/>
        <v>0.27692307692307688</v>
      </c>
      <c r="N100" s="1">
        <f t="shared" si="6"/>
        <v>1.3186813186813185E-2</v>
      </c>
      <c r="O100" s="1">
        <f t="shared" si="7"/>
        <v>0.29010989010989008</v>
      </c>
      <c r="P100" s="1">
        <f t="shared" si="8"/>
        <v>0.73846153846153839</v>
      </c>
      <c r="Q100">
        <v>5.5</v>
      </c>
      <c r="R100" s="1">
        <v>0</v>
      </c>
      <c r="S100" s="1">
        <v>48</v>
      </c>
      <c r="T100">
        <v>0.5</v>
      </c>
      <c r="U100">
        <v>7.7</v>
      </c>
      <c r="V100" s="1">
        <v>40000</v>
      </c>
      <c r="W100" s="1">
        <v>30</v>
      </c>
      <c r="X100" s="1">
        <v>20</v>
      </c>
      <c r="Y100" s="1" t="s">
        <v>18</v>
      </c>
      <c r="Z100" s="1">
        <v>614.1</v>
      </c>
      <c r="AA100" s="1">
        <v>1.917</v>
      </c>
      <c r="AB100" s="1">
        <v>12</v>
      </c>
      <c r="AC100" s="1" t="s">
        <v>59</v>
      </c>
      <c r="AD100" s="1">
        <v>9.3399999999999993E-3</v>
      </c>
      <c r="AE100" s="1"/>
    </row>
    <row r="101" spans="1:31">
      <c r="A101" s="1">
        <v>96</v>
      </c>
      <c r="B101" s="2" t="s">
        <v>107</v>
      </c>
      <c r="C101">
        <v>600</v>
      </c>
      <c r="D101">
        <v>2</v>
      </c>
      <c r="E101" s="1" t="s">
        <v>21</v>
      </c>
      <c r="F101">
        <v>687.63</v>
      </c>
      <c r="G101">
        <v>0.31900000000000001</v>
      </c>
      <c r="H101">
        <v>1.18</v>
      </c>
      <c r="I101">
        <v>65.87</v>
      </c>
      <c r="J101">
        <v>19.940000000000001</v>
      </c>
      <c r="K101">
        <v>0.18</v>
      </c>
      <c r="L101">
        <v>2.86</v>
      </c>
      <c r="M101" s="1">
        <f t="shared" si="5"/>
        <v>0.22703810535904054</v>
      </c>
      <c r="N101" s="1">
        <f t="shared" si="6"/>
        <v>2.34227591142727E-3</v>
      </c>
      <c r="O101" s="1">
        <f t="shared" si="7"/>
        <v>0.22938038127046784</v>
      </c>
      <c r="P101" s="1">
        <f t="shared" si="8"/>
        <v>0.52102626385304385</v>
      </c>
      <c r="Q101">
        <v>11.08</v>
      </c>
      <c r="R101">
        <v>3.5</v>
      </c>
      <c r="S101" s="1">
        <v>2</v>
      </c>
      <c r="T101">
        <v>50</v>
      </c>
      <c r="U101">
        <v>3.4</v>
      </c>
      <c r="V101" s="1">
        <v>400</v>
      </c>
      <c r="W101" s="1">
        <v>150</v>
      </c>
      <c r="X101" s="1">
        <v>25</v>
      </c>
      <c r="Y101" s="1" t="s">
        <v>19</v>
      </c>
      <c r="Z101" s="1">
        <v>414.08</v>
      </c>
      <c r="AA101" s="1">
        <v>1.875</v>
      </c>
      <c r="AB101" s="1">
        <v>8</v>
      </c>
      <c r="AC101" s="1" t="s">
        <v>59</v>
      </c>
      <c r="AD101" s="1">
        <v>307</v>
      </c>
      <c r="AE101" s="1"/>
    </row>
    <row r="102" spans="1:31">
      <c r="A102" s="1">
        <v>97</v>
      </c>
      <c r="B102" s="2" t="s">
        <v>108</v>
      </c>
      <c r="C102">
        <v>500</v>
      </c>
      <c r="D102">
        <v>2</v>
      </c>
      <c r="E102" s="1" t="s">
        <v>21</v>
      </c>
      <c r="F102">
        <v>1085.2</v>
      </c>
      <c r="G102">
        <v>0.67</v>
      </c>
      <c r="H102">
        <v>2.5</v>
      </c>
      <c r="I102">
        <v>89.5</v>
      </c>
      <c r="J102">
        <v>8.32</v>
      </c>
      <c r="K102">
        <v>0.2</v>
      </c>
      <c r="L102">
        <v>1.98</v>
      </c>
      <c r="M102" s="1">
        <f t="shared" si="5"/>
        <v>6.9720670391061459E-2</v>
      </c>
      <c r="N102" s="1">
        <f t="shared" si="6"/>
        <v>1.9154030327214687E-3</v>
      </c>
      <c r="O102" s="1">
        <f t="shared" si="7"/>
        <v>7.163607342378292E-2</v>
      </c>
      <c r="P102" s="1">
        <f t="shared" si="8"/>
        <v>0.26547486033519552</v>
      </c>
      <c r="Q102">
        <f>100-I102-J102-K102-L102</f>
        <v>0</v>
      </c>
      <c r="R102" s="1">
        <v>0</v>
      </c>
      <c r="S102" s="1">
        <v>48</v>
      </c>
      <c r="T102">
        <v>250</v>
      </c>
      <c r="U102">
        <v>3.3</v>
      </c>
      <c r="V102" s="1">
        <v>250</v>
      </c>
      <c r="W102" s="1">
        <v>180</v>
      </c>
      <c r="X102" s="1">
        <v>25</v>
      </c>
      <c r="Y102" s="1" t="s">
        <v>2</v>
      </c>
      <c r="Z102" s="1">
        <v>500.13</v>
      </c>
      <c r="AA102" s="1">
        <v>1.875</v>
      </c>
      <c r="AB102" s="1">
        <v>8</v>
      </c>
      <c r="AC102" s="1" t="s">
        <v>60</v>
      </c>
      <c r="AD102" s="1">
        <v>643.20000000000005</v>
      </c>
      <c r="AE102" s="1"/>
    </row>
    <row r="103" spans="1:31">
      <c r="A103" s="1">
        <v>98</v>
      </c>
      <c r="B103" s="2" t="s">
        <v>108</v>
      </c>
      <c r="C103">
        <v>500</v>
      </c>
      <c r="D103">
        <v>2</v>
      </c>
      <c r="E103" s="1" t="s">
        <v>21</v>
      </c>
      <c r="F103">
        <v>990.7</v>
      </c>
      <c r="G103">
        <v>0.505</v>
      </c>
      <c r="H103">
        <v>2</v>
      </c>
      <c r="I103">
        <v>90.91</v>
      </c>
      <c r="J103">
        <v>6.97</v>
      </c>
      <c r="K103">
        <v>0.27</v>
      </c>
      <c r="L103">
        <v>1.86</v>
      </c>
      <c r="M103" s="1">
        <f t="shared" si="5"/>
        <v>5.7501924980750192E-2</v>
      </c>
      <c r="N103" s="1">
        <f t="shared" si="6"/>
        <v>2.5456888288259978E-3</v>
      </c>
      <c r="O103" s="1">
        <f t="shared" si="7"/>
        <v>6.004761380957619E-2</v>
      </c>
      <c r="P103" s="1">
        <f t="shared" si="8"/>
        <v>0.24551754482455179</v>
      </c>
      <c r="Q103">
        <v>0</v>
      </c>
      <c r="R103" s="1">
        <v>0</v>
      </c>
      <c r="S103" s="1">
        <v>48</v>
      </c>
      <c r="T103">
        <v>250</v>
      </c>
      <c r="U103">
        <v>3.3</v>
      </c>
      <c r="V103" s="1">
        <v>250</v>
      </c>
      <c r="W103" s="1">
        <v>180</v>
      </c>
      <c r="X103" s="1">
        <v>25</v>
      </c>
      <c r="Y103" s="1" t="s">
        <v>2</v>
      </c>
      <c r="Z103" s="1">
        <v>500.13</v>
      </c>
      <c r="AA103" s="1">
        <v>1.875</v>
      </c>
      <c r="AB103" s="1">
        <v>8</v>
      </c>
      <c r="AC103" s="1" t="s">
        <v>60</v>
      </c>
      <c r="AD103" s="1">
        <v>460.7</v>
      </c>
      <c r="AE103" s="1"/>
    </row>
    <row r="104" spans="1:31" ht="21" customHeight="1">
      <c r="A104" s="1">
        <v>99</v>
      </c>
      <c r="B104" s="2" t="s">
        <v>109</v>
      </c>
      <c r="C104">
        <v>600</v>
      </c>
      <c r="D104">
        <v>1</v>
      </c>
      <c r="E104" s="1" t="s">
        <v>23</v>
      </c>
      <c r="F104">
        <v>25.5</v>
      </c>
      <c r="G104">
        <v>2.3E-2</v>
      </c>
      <c r="H104">
        <v>1.35</v>
      </c>
      <c r="I104">
        <v>82.736999999999995</v>
      </c>
      <c r="J104">
        <v>14.029</v>
      </c>
      <c r="K104">
        <v>2.1040000000000001</v>
      </c>
      <c r="L104">
        <v>0.129</v>
      </c>
      <c r="M104" s="1">
        <f t="shared" si="5"/>
        <v>0.12717103593313756</v>
      </c>
      <c r="N104" s="1">
        <f t="shared" si="6"/>
        <v>2.179712306983057E-2</v>
      </c>
      <c r="O104" s="1">
        <f t="shared" si="7"/>
        <v>0.14896815900296811</v>
      </c>
      <c r="P104" s="1">
        <f t="shared" si="8"/>
        <v>1.8709887958229091E-2</v>
      </c>
      <c r="Q104">
        <f>100-I104-J104-K104-L104</f>
        <v>1.0010000000000052</v>
      </c>
      <c r="R104" s="1">
        <v>0</v>
      </c>
      <c r="S104" s="1">
        <v>24</v>
      </c>
      <c r="T104">
        <v>2</v>
      </c>
      <c r="U104">
        <v>5</v>
      </c>
      <c r="V104" s="1">
        <v>50</v>
      </c>
      <c r="W104" s="1">
        <v>180</v>
      </c>
      <c r="X104" s="1">
        <v>30</v>
      </c>
      <c r="Y104" s="1" t="s">
        <v>24</v>
      </c>
      <c r="Z104" s="1">
        <v>414.08</v>
      </c>
      <c r="AA104" s="1">
        <v>1.875</v>
      </c>
      <c r="AB104" s="1">
        <v>8</v>
      </c>
      <c r="AC104" s="1" t="s">
        <v>59</v>
      </c>
      <c r="AD104" s="1">
        <v>23</v>
      </c>
      <c r="AE104" s="1"/>
    </row>
    <row r="105" spans="1:31" ht="21" customHeight="1">
      <c r="A105" s="1">
        <v>100</v>
      </c>
      <c r="B105" s="4" t="s">
        <v>110</v>
      </c>
      <c r="C105">
        <v>600</v>
      </c>
      <c r="D105">
        <v>1</v>
      </c>
      <c r="E105" s="1" t="s">
        <v>23</v>
      </c>
      <c r="F105">
        <v>10.987</v>
      </c>
      <c r="G105">
        <v>1.7999999999999999E-2</v>
      </c>
      <c r="H105">
        <v>1.41</v>
      </c>
      <c r="I105">
        <v>80.394999999999996</v>
      </c>
      <c r="J105">
        <v>15.348000000000001</v>
      </c>
      <c r="K105">
        <v>4.2270000000000003</v>
      </c>
      <c r="L105">
        <v>3.1E-2</v>
      </c>
      <c r="M105" s="1">
        <f t="shared" si="5"/>
        <v>0.14318054605385908</v>
      </c>
      <c r="N105" s="1">
        <f t="shared" si="6"/>
        <v>4.5066768544596771E-2</v>
      </c>
      <c r="O105" s="1">
        <f t="shared" si="7"/>
        <v>0.18824731459845587</v>
      </c>
      <c r="P105" s="1">
        <f t="shared" si="8"/>
        <v>4.6271534299396734E-3</v>
      </c>
      <c r="Q105">
        <v>0</v>
      </c>
      <c r="R105" s="1">
        <v>0</v>
      </c>
      <c r="S105" s="1">
        <v>24</v>
      </c>
      <c r="T105">
        <v>2</v>
      </c>
      <c r="U105">
        <v>5</v>
      </c>
      <c r="V105" s="1">
        <v>50</v>
      </c>
      <c r="W105" s="1">
        <v>180</v>
      </c>
      <c r="X105" s="1">
        <v>30</v>
      </c>
      <c r="Y105" s="1" t="s">
        <v>24</v>
      </c>
      <c r="Z105" s="1">
        <v>414.08</v>
      </c>
      <c r="AA105" s="1">
        <v>1.875</v>
      </c>
      <c r="AB105" s="1">
        <v>8</v>
      </c>
      <c r="AC105" s="1" t="s">
        <v>59</v>
      </c>
      <c r="AD105" s="1">
        <v>23.4</v>
      </c>
      <c r="AE105" s="1"/>
    </row>
    <row r="106" spans="1:31">
      <c r="A106" s="1">
        <v>101</v>
      </c>
      <c r="B106" s="2" t="s">
        <v>52</v>
      </c>
      <c r="C106">
        <v>600</v>
      </c>
      <c r="D106">
        <v>1</v>
      </c>
      <c r="E106" s="1" t="s">
        <v>23</v>
      </c>
      <c r="F106">
        <v>111.78</v>
      </c>
      <c r="G106">
        <v>0.19</v>
      </c>
      <c r="H106">
        <v>4.1500000000000004</v>
      </c>
      <c r="I106">
        <v>59.845999999999997</v>
      </c>
      <c r="J106">
        <v>27.666</v>
      </c>
      <c r="K106">
        <v>11.429</v>
      </c>
      <c r="L106">
        <v>3.2000000000000001E-2</v>
      </c>
      <c r="M106" s="1">
        <f t="shared" si="5"/>
        <v>0.34671490158072388</v>
      </c>
      <c r="N106" s="1">
        <f t="shared" si="6"/>
        <v>0.16369157026845096</v>
      </c>
      <c r="O106" s="1">
        <f t="shared" si="7"/>
        <v>0.51040647184917487</v>
      </c>
      <c r="P106" s="1">
        <f t="shared" si="8"/>
        <v>6.4164689369381423E-3</v>
      </c>
      <c r="Q106">
        <f>100-I106-J106-K106-L106</f>
        <v>1.0270000000000028</v>
      </c>
      <c r="R106" s="1">
        <v>0</v>
      </c>
      <c r="S106" s="1">
        <v>24</v>
      </c>
      <c r="T106">
        <v>2</v>
      </c>
      <c r="U106">
        <v>5</v>
      </c>
      <c r="V106" s="1">
        <v>50</v>
      </c>
      <c r="W106" s="1">
        <v>180</v>
      </c>
      <c r="X106" s="1">
        <v>30</v>
      </c>
      <c r="Y106" s="1" t="s">
        <v>24</v>
      </c>
      <c r="Z106" s="1">
        <v>414.08</v>
      </c>
      <c r="AA106" s="1">
        <v>1.875</v>
      </c>
      <c r="AB106" s="1">
        <v>8</v>
      </c>
      <c r="AC106" s="1" t="s">
        <v>59</v>
      </c>
      <c r="AD106" s="1">
        <v>80.400000000000006</v>
      </c>
      <c r="AE106" s="1"/>
    </row>
    <row r="107" spans="1:31">
      <c r="A107" s="1">
        <v>102</v>
      </c>
      <c r="B107" s="2" t="s">
        <v>109</v>
      </c>
      <c r="C107">
        <v>600</v>
      </c>
      <c r="D107">
        <v>1</v>
      </c>
      <c r="E107" s="1" t="s">
        <v>3</v>
      </c>
      <c r="F107">
        <v>162.19999999999999</v>
      </c>
      <c r="G107">
        <v>0.114</v>
      </c>
      <c r="H107">
        <v>1.41</v>
      </c>
      <c r="I107">
        <v>83.215999999999994</v>
      </c>
      <c r="J107">
        <v>14.28</v>
      </c>
      <c r="K107">
        <v>2.2650000000000001</v>
      </c>
      <c r="L107">
        <v>3.4000000000000002E-2</v>
      </c>
      <c r="M107" s="1">
        <f t="shared" si="5"/>
        <v>0.12870121130551818</v>
      </c>
      <c r="N107" s="1">
        <f t="shared" si="6"/>
        <v>2.3329991485153957E-2</v>
      </c>
      <c r="O107" s="1">
        <f t="shared" si="7"/>
        <v>0.15203120279067214</v>
      </c>
      <c r="P107" s="1">
        <f t="shared" si="8"/>
        <v>4.9029032878292649E-3</v>
      </c>
      <c r="Q107">
        <f>100-I107-J107-K107-L107</f>
        <v>0.20500000000000654</v>
      </c>
      <c r="R107" s="1">
        <v>0</v>
      </c>
      <c r="S107" s="1">
        <v>24</v>
      </c>
      <c r="T107">
        <v>2</v>
      </c>
      <c r="U107">
        <v>5</v>
      </c>
      <c r="V107" s="1">
        <v>50</v>
      </c>
      <c r="W107" s="1">
        <v>180</v>
      </c>
      <c r="X107" s="1">
        <v>30</v>
      </c>
      <c r="Y107" s="1" t="s">
        <v>24</v>
      </c>
      <c r="Z107" s="1">
        <v>414.08</v>
      </c>
      <c r="AA107" s="1">
        <v>1.875</v>
      </c>
      <c r="AB107" s="1">
        <v>8</v>
      </c>
      <c r="AC107" s="1" t="s">
        <v>59</v>
      </c>
      <c r="AD107" s="1">
        <v>46.3</v>
      </c>
      <c r="AE107" s="1"/>
    </row>
    <row r="108" spans="1:31" ht="17">
      <c r="A108" s="1">
        <v>103</v>
      </c>
      <c r="B108" s="4" t="s">
        <v>110</v>
      </c>
      <c r="C108">
        <v>600</v>
      </c>
      <c r="D108">
        <v>1</v>
      </c>
      <c r="E108" s="1" t="s">
        <v>3</v>
      </c>
      <c r="F108">
        <v>109.2</v>
      </c>
      <c r="G108">
        <v>3.2000000000000001E-2</v>
      </c>
      <c r="H108">
        <v>1.32</v>
      </c>
      <c r="I108">
        <v>82.888000000000005</v>
      </c>
      <c r="J108">
        <v>14.157999999999999</v>
      </c>
      <c r="K108">
        <v>2.9140000000000001</v>
      </c>
      <c r="L108">
        <v>3.1E-2</v>
      </c>
      <c r="M108" s="1">
        <f t="shared" si="5"/>
        <v>0.12810660167937457</v>
      </c>
      <c r="N108" s="1">
        <f t="shared" si="6"/>
        <v>3.0133605415914075E-2</v>
      </c>
      <c r="O108" s="1">
        <f t="shared" si="7"/>
        <v>0.15824020709528863</v>
      </c>
      <c r="P108" s="1">
        <f t="shared" si="8"/>
        <v>4.487983785348904E-3</v>
      </c>
      <c r="Q108">
        <f>100-I108-J108-K108-L108</f>
        <v>8.9999999999951508E-3</v>
      </c>
      <c r="R108" s="1">
        <v>0</v>
      </c>
      <c r="S108" s="1">
        <v>24</v>
      </c>
      <c r="T108">
        <v>2</v>
      </c>
      <c r="U108">
        <v>5</v>
      </c>
      <c r="V108" s="1">
        <v>50</v>
      </c>
      <c r="W108" s="1">
        <v>180</v>
      </c>
      <c r="X108" s="1">
        <v>30</v>
      </c>
      <c r="Y108" s="1" t="s">
        <v>24</v>
      </c>
      <c r="Z108" s="1">
        <v>414.08</v>
      </c>
      <c r="AA108" s="1">
        <v>1.875</v>
      </c>
      <c r="AB108" s="1">
        <v>8</v>
      </c>
      <c r="AC108" s="1" t="s">
        <v>59</v>
      </c>
      <c r="AD108" s="1">
        <v>42.3</v>
      </c>
      <c r="AE108" s="1"/>
    </row>
    <row r="109" spans="1:31">
      <c r="A109" s="1">
        <v>104</v>
      </c>
      <c r="B109" s="2" t="s">
        <v>52</v>
      </c>
      <c r="C109">
        <v>600</v>
      </c>
      <c r="D109">
        <v>1</v>
      </c>
      <c r="E109" s="1" t="s">
        <v>3</v>
      </c>
      <c r="F109">
        <v>52.3</v>
      </c>
      <c r="G109">
        <v>0.1</v>
      </c>
      <c r="H109">
        <v>4.1500000000000004</v>
      </c>
      <c r="I109">
        <v>50.386000000000003</v>
      </c>
      <c r="J109">
        <v>36.588000000000001</v>
      </c>
      <c r="K109">
        <v>9.3870000000000005</v>
      </c>
      <c r="L109">
        <v>3.1E-2</v>
      </c>
      <c r="M109" s="1">
        <f t="shared" si="5"/>
        <v>0.54461556781645692</v>
      </c>
      <c r="N109" s="1">
        <f t="shared" si="6"/>
        <v>0.15968721470249669</v>
      </c>
      <c r="O109" s="1">
        <f t="shared" si="7"/>
        <v>0.70430278251895362</v>
      </c>
      <c r="P109" s="1">
        <f t="shared" si="8"/>
        <v>7.3830032151788183E-3</v>
      </c>
      <c r="Q109">
        <f>100-I109-J109-K109-L109</f>
        <v>3.6079999999999957</v>
      </c>
      <c r="R109" s="1">
        <v>0</v>
      </c>
      <c r="S109" s="1">
        <v>24</v>
      </c>
      <c r="T109">
        <v>2</v>
      </c>
      <c r="U109">
        <v>5</v>
      </c>
      <c r="V109" s="1">
        <v>50</v>
      </c>
      <c r="W109" s="1">
        <v>180</v>
      </c>
      <c r="X109" s="1">
        <v>30</v>
      </c>
      <c r="Y109" s="1" t="s">
        <v>24</v>
      </c>
      <c r="Z109" s="1">
        <v>414.08</v>
      </c>
      <c r="AA109" s="1">
        <v>1.875</v>
      </c>
      <c r="AB109" s="1">
        <v>8</v>
      </c>
      <c r="AC109" s="1" t="s">
        <v>59</v>
      </c>
      <c r="AD109" s="1">
        <v>194.8</v>
      </c>
      <c r="AE109" s="1"/>
    </row>
    <row r="110" spans="1:31">
      <c r="A110" s="1">
        <v>105</v>
      </c>
      <c r="B110" s="2" t="s">
        <v>109</v>
      </c>
      <c r="C110">
        <v>600</v>
      </c>
      <c r="D110">
        <v>1</v>
      </c>
      <c r="E110" s="1" t="s">
        <v>3</v>
      </c>
      <c r="F110">
        <v>218.01</v>
      </c>
      <c r="G110">
        <v>8.8999999999999996E-2</v>
      </c>
      <c r="H110">
        <v>1.41</v>
      </c>
      <c r="I110">
        <v>86.334999999999994</v>
      </c>
      <c r="J110">
        <v>11.183999999999999</v>
      </c>
      <c r="K110">
        <v>2.4500000000000002</v>
      </c>
      <c r="L110">
        <v>3.1E-2</v>
      </c>
      <c r="M110" s="1">
        <f t="shared" si="5"/>
        <v>9.7156425551630274E-2</v>
      </c>
      <c r="N110" s="1">
        <f t="shared" si="6"/>
        <v>2.4323854751838771E-2</v>
      </c>
      <c r="O110" s="1">
        <f t="shared" si="7"/>
        <v>0.12148028030346905</v>
      </c>
      <c r="P110" s="1">
        <f t="shared" si="8"/>
        <v>4.3087971274685822E-3</v>
      </c>
      <c r="Q110">
        <v>0</v>
      </c>
      <c r="R110" s="1">
        <v>0</v>
      </c>
      <c r="S110" s="1">
        <v>24</v>
      </c>
      <c r="T110">
        <v>2</v>
      </c>
      <c r="U110">
        <v>5</v>
      </c>
      <c r="V110" s="1">
        <v>50</v>
      </c>
      <c r="W110" s="1">
        <v>180</v>
      </c>
      <c r="X110" s="1">
        <v>30</v>
      </c>
      <c r="Y110" s="1" t="s">
        <v>24</v>
      </c>
      <c r="Z110" s="1">
        <v>414.08</v>
      </c>
      <c r="AA110" s="1">
        <v>1.875</v>
      </c>
      <c r="AB110" s="1">
        <v>8</v>
      </c>
      <c r="AC110" s="1" t="s">
        <v>59</v>
      </c>
      <c r="AD110" s="1">
        <v>21.4</v>
      </c>
      <c r="AE110" s="1"/>
    </row>
    <row r="111" spans="1:31" ht="17">
      <c r="A111" s="1">
        <v>106</v>
      </c>
      <c r="B111" s="4" t="s">
        <v>110</v>
      </c>
      <c r="C111">
        <v>600</v>
      </c>
      <c r="D111">
        <v>1</v>
      </c>
      <c r="E111" s="1" t="s">
        <v>3</v>
      </c>
      <c r="F111">
        <v>64.77</v>
      </c>
      <c r="G111">
        <v>4.4999999999999998E-2</v>
      </c>
      <c r="H111">
        <v>1.41</v>
      </c>
      <c r="I111">
        <v>82.373999999999995</v>
      </c>
      <c r="J111">
        <v>13.73</v>
      </c>
      <c r="K111">
        <v>3.867</v>
      </c>
      <c r="L111">
        <v>2.9000000000000001E-2</v>
      </c>
      <c r="M111" s="1">
        <f t="shared" si="5"/>
        <v>0.12500910481462599</v>
      </c>
      <c r="N111" s="1">
        <f t="shared" si="6"/>
        <v>4.0238077895591189E-2</v>
      </c>
      <c r="O111" s="1">
        <f t="shared" si="7"/>
        <v>0.16524718271021718</v>
      </c>
      <c r="P111" s="1">
        <f t="shared" si="8"/>
        <v>4.2246339864520366E-3</v>
      </c>
      <c r="Q111">
        <v>0</v>
      </c>
      <c r="R111" s="1">
        <v>0</v>
      </c>
      <c r="S111" s="1">
        <v>24</v>
      </c>
      <c r="T111">
        <v>2</v>
      </c>
      <c r="U111">
        <v>5</v>
      </c>
      <c r="V111" s="1">
        <v>50</v>
      </c>
      <c r="W111" s="1">
        <v>180</v>
      </c>
      <c r="X111" s="1">
        <v>30</v>
      </c>
      <c r="Y111" s="1" t="s">
        <v>24</v>
      </c>
      <c r="Z111" s="1">
        <v>414.08</v>
      </c>
      <c r="AA111" s="1">
        <v>1.875</v>
      </c>
      <c r="AB111" s="1">
        <v>8</v>
      </c>
      <c r="AC111" s="1" t="s">
        <v>59</v>
      </c>
      <c r="AD111" s="1">
        <v>16.399999999999999</v>
      </c>
      <c r="AE111" s="1"/>
    </row>
    <row r="112" spans="1:31">
      <c r="A112" s="1">
        <v>107</v>
      </c>
      <c r="B112" s="2" t="s">
        <v>52</v>
      </c>
      <c r="C112">
        <v>600</v>
      </c>
      <c r="D112">
        <v>1</v>
      </c>
      <c r="E112" s="1" t="s">
        <v>3</v>
      </c>
      <c r="F112">
        <v>147.12</v>
      </c>
      <c r="G112">
        <v>0.24</v>
      </c>
      <c r="H112">
        <v>3.96</v>
      </c>
      <c r="I112">
        <v>59.326999999999998</v>
      </c>
      <c r="J112">
        <v>26.161000000000001</v>
      </c>
      <c r="K112">
        <v>10.804</v>
      </c>
      <c r="L112">
        <v>2.9000000000000001E-2</v>
      </c>
      <c r="M112" s="1">
        <f t="shared" si="5"/>
        <v>0.33072209954995196</v>
      </c>
      <c r="N112" s="1">
        <f t="shared" si="6"/>
        <v>0.15609370823691454</v>
      </c>
      <c r="O112" s="1">
        <f t="shared" si="7"/>
        <v>0.48681580778686656</v>
      </c>
      <c r="P112" s="1">
        <f t="shared" si="8"/>
        <v>5.8657946634753152E-3</v>
      </c>
      <c r="Q112">
        <f>100-I112-J112-K112-L112</f>
        <v>3.6790000000000003</v>
      </c>
      <c r="R112" s="1">
        <v>0</v>
      </c>
      <c r="S112" s="1">
        <v>24</v>
      </c>
      <c r="T112">
        <v>2</v>
      </c>
      <c r="U112">
        <v>5</v>
      </c>
      <c r="V112" s="1">
        <v>50</v>
      </c>
      <c r="W112" s="1">
        <v>180</v>
      </c>
      <c r="X112" s="1">
        <v>30</v>
      </c>
      <c r="Y112" s="1" t="s">
        <v>24</v>
      </c>
      <c r="Z112" s="1">
        <v>414.08</v>
      </c>
      <c r="AA112" s="1">
        <v>1.875</v>
      </c>
      <c r="AB112" s="1">
        <v>8</v>
      </c>
      <c r="AC112" s="1" t="s">
        <v>59</v>
      </c>
      <c r="AD112" s="1">
        <v>98.1</v>
      </c>
      <c r="AE112" s="1"/>
    </row>
    <row r="113" spans="1:31">
      <c r="A113" s="1">
        <v>108</v>
      </c>
      <c r="B113" s="2" t="s">
        <v>111</v>
      </c>
      <c r="C113">
        <v>800</v>
      </c>
      <c r="D113">
        <v>2</v>
      </c>
      <c r="E113" s="1" t="s">
        <v>23</v>
      </c>
      <c r="F113">
        <v>450</v>
      </c>
      <c r="G113">
        <v>24.59</v>
      </c>
      <c r="H113">
        <v>60.72</v>
      </c>
      <c r="I113">
        <v>63.32</v>
      </c>
      <c r="J113">
        <f>100-I113-K113-L113-Q113</f>
        <v>3.8599999999999994</v>
      </c>
      <c r="K113">
        <v>5.94</v>
      </c>
      <c r="L113">
        <v>0.93</v>
      </c>
      <c r="M113" s="1">
        <f t="shared" si="5"/>
        <v>4.5720151610865442E-2</v>
      </c>
      <c r="N113" s="1">
        <f t="shared" si="6"/>
        <v>8.0407905423698231E-2</v>
      </c>
      <c r="O113" s="1">
        <f t="shared" si="7"/>
        <v>0.12612805703456367</v>
      </c>
      <c r="P113" s="1">
        <f t="shared" si="8"/>
        <v>0.17624763108022742</v>
      </c>
      <c r="Q113">
        <v>25.95</v>
      </c>
      <c r="R113" s="1">
        <v>0</v>
      </c>
      <c r="S113" s="1">
        <v>48</v>
      </c>
      <c r="T113">
        <v>50</v>
      </c>
      <c r="U113">
        <v>3</v>
      </c>
      <c r="V113" s="1">
        <v>200</v>
      </c>
      <c r="W113" s="1">
        <v>200</v>
      </c>
      <c r="X113" s="1">
        <v>23</v>
      </c>
      <c r="Y113" s="1" t="s">
        <v>24</v>
      </c>
      <c r="Z113" s="1">
        <v>414.08</v>
      </c>
      <c r="AA113" s="1">
        <v>1.875</v>
      </c>
      <c r="AB113" s="1">
        <v>8</v>
      </c>
      <c r="AC113" s="1" t="s">
        <v>59</v>
      </c>
      <c r="AD113" s="1">
        <v>46.38</v>
      </c>
      <c r="AE113" s="1"/>
    </row>
    <row r="114" spans="1:31">
      <c r="A114" s="1">
        <v>109</v>
      </c>
      <c r="B114" s="2" t="s">
        <v>111</v>
      </c>
      <c r="C114">
        <v>800</v>
      </c>
      <c r="D114">
        <v>2</v>
      </c>
      <c r="E114" s="1" t="s">
        <v>25</v>
      </c>
      <c r="F114">
        <v>450</v>
      </c>
      <c r="G114">
        <v>43.36</v>
      </c>
      <c r="H114">
        <v>60.72</v>
      </c>
      <c r="I114">
        <v>26.74</v>
      </c>
      <c r="J114">
        <f>100-I114-K114-L114-Q114</f>
        <v>10.950000000000003</v>
      </c>
      <c r="K114">
        <v>9.35</v>
      </c>
      <c r="L114">
        <v>0.9</v>
      </c>
      <c r="M114" s="1">
        <f t="shared" si="5"/>
        <v>0.30712415856394926</v>
      </c>
      <c r="N114" s="1">
        <f t="shared" si="6"/>
        <v>0.29971150763970511</v>
      </c>
      <c r="O114" s="1">
        <f t="shared" si="7"/>
        <v>0.60683566620365437</v>
      </c>
      <c r="P114" s="1">
        <f t="shared" si="8"/>
        <v>0.40388930441286469</v>
      </c>
      <c r="Q114">
        <v>52.06</v>
      </c>
      <c r="R114" s="1">
        <v>0</v>
      </c>
      <c r="S114" s="1">
        <v>48</v>
      </c>
      <c r="T114">
        <v>50</v>
      </c>
      <c r="U114">
        <v>3</v>
      </c>
      <c r="V114" s="1">
        <v>200</v>
      </c>
      <c r="W114" s="1">
        <v>200</v>
      </c>
      <c r="X114" s="1">
        <v>23</v>
      </c>
      <c r="Y114" s="1" t="s">
        <v>24</v>
      </c>
      <c r="Z114" s="1">
        <v>414.08</v>
      </c>
      <c r="AA114" s="1">
        <v>1.875</v>
      </c>
      <c r="AB114" s="1">
        <v>8</v>
      </c>
      <c r="AC114" s="1" t="s">
        <v>59</v>
      </c>
      <c r="AD114" s="1">
        <v>232.85</v>
      </c>
      <c r="AE114" s="1"/>
    </row>
    <row r="115" spans="1:31">
      <c r="A115" s="1">
        <v>110</v>
      </c>
      <c r="B115" s="2" t="s">
        <v>111</v>
      </c>
      <c r="C115">
        <v>800</v>
      </c>
      <c r="D115">
        <v>2</v>
      </c>
      <c r="E115" s="1" t="s">
        <v>3</v>
      </c>
      <c r="F115">
        <v>450</v>
      </c>
      <c r="G115">
        <v>43.36</v>
      </c>
      <c r="H115">
        <v>60.72</v>
      </c>
      <c r="I115">
        <v>26.74</v>
      </c>
      <c r="J115">
        <f>100-I115-K115-L115-Q115</f>
        <v>10.950000000000003</v>
      </c>
      <c r="K115">
        <v>9.35</v>
      </c>
      <c r="L115">
        <v>0.9</v>
      </c>
      <c r="M115" s="1">
        <f t="shared" si="5"/>
        <v>0.30712415856394926</v>
      </c>
      <c r="N115" s="1">
        <f t="shared" si="6"/>
        <v>0.29971150763970511</v>
      </c>
      <c r="O115" s="1">
        <f t="shared" si="7"/>
        <v>0.60683566620365437</v>
      </c>
      <c r="P115" s="1">
        <f t="shared" si="8"/>
        <v>0.40388930441286469</v>
      </c>
      <c r="Q115">
        <v>52.06</v>
      </c>
      <c r="R115" s="1">
        <v>0</v>
      </c>
      <c r="S115" s="1">
        <v>48</v>
      </c>
      <c r="T115">
        <v>10</v>
      </c>
      <c r="U115">
        <v>6</v>
      </c>
      <c r="V115" s="1">
        <v>200</v>
      </c>
      <c r="W115" s="1">
        <v>200</v>
      </c>
      <c r="X115" s="1">
        <v>23</v>
      </c>
      <c r="Y115" s="1" t="s">
        <v>2</v>
      </c>
      <c r="Z115" s="1">
        <v>500.13</v>
      </c>
      <c r="AA115" s="1">
        <v>1.875</v>
      </c>
      <c r="AB115" s="1">
        <v>8</v>
      </c>
      <c r="AC115" s="1" t="s">
        <v>60</v>
      </c>
      <c r="AD115" s="1">
        <v>50</v>
      </c>
      <c r="AE115" s="1"/>
    </row>
    <row r="116" spans="1:31">
      <c r="A116" s="1">
        <v>111</v>
      </c>
      <c r="B116" s="2" t="s">
        <v>111</v>
      </c>
      <c r="C116">
        <v>800</v>
      </c>
      <c r="D116">
        <v>2</v>
      </c>
      <c r="E116" s="1" t="s">
        <v>3</v>
      </c>
      <c r="F116">
        <v>450</v>
      </c>
      <c r="G116">
        <v>43.36</v>
      </c>
      <c r="H116">
        <v>60.72</v>
      </c>
      <c r="I116">
        <v>26.74</v>
      </c>
      <c r="J116">
        <f>100-I116-K116-L116-Q116</f>
        <v>10.950000000000003</v>
      </c>
      <c r="K116">
        <v>9.35</v>
      </c>
      <c r="L116">
        <v>0.9</v>
      </c>
      <c r="M116" s="1">
        <f t="shared" si="5"/>
        <v>0.30712415856394926</v>
      </c>
      <c r="N116" s="1">
        <f t="shared" si="6"/>
        <v>0.29971150763970511</v>
      </c>
      <c r="O116" s="1">
        <f t="shared" si="7"/>
        <v>0.60683566620365437</v>
      </c>
      <c r="P116" s="1">
        <f t="shared" si="8"/>
        <v>0.40388930441286469</v>
      </c>
      <c r="Q116">
        <v>52.06</v>
      </c>
      <c r="R116" s="1">
        <v>0</v>
      </c>
      <c r="S116" s="1">
        <v>48</v>
      </c>
      <c r="T116">
        <v>10</v>
      </c>
      <c r="U116">
        <v>6</v>
      </c>
      <c r="V116" s="1">
        <v>200</v>
      </c>
      <c r="W116" s="1">
        <v>200</v>
      </c>
      <c r="X116" s="1">
        <v>23</v>
      </c>
      <c r="Y116" s="1" t="s">
        <v>13</v>
      </c>
      <c r="Z116" s="1">
        <v>300.10000000000002</v>
      </c>
      <c r="AA116" s="1">
        <v>1.75</v>
      </c>
      <c r="AB116" s="1">
        <v>4</v>
      </c>
      <c r="AC116" s="1" t="s">
        <v>60</v>
      </c>
      <c r="AD116" s="1">
        <v>50</v>
      </c>
      <c r="AE116" s="1"/>
    </row>
    <row r="117" spans="1:31">
      <c r="A117" s="1">
        <v>112</v>
      </c>
      <c r="B117" s="2" t="s">
        <v>111</v>
      </c>
      <c r="C117">
        <v>800</v>
      </c>
      <c r="D117">
        <v>2</v>
      </c>
      <c r="E117" s="1" t="s">
        <v>3</v>
      </c>
      <c r="F117">
        <v>450</v>
      </c>
      <c r="G117">
        <v>43.36</v>
      </c>
      <c r="H117">
        <v>60.72</v>
      </c>
      <c r="I117">
        <v>26.74</v>
      </c>
      <c r="J117">
        <f>100-I117-K117-L117-Q117</f>
        <v>10.950000000000003</v>
      </c>
      <c r="K117">
        <v>9.35</v>
      </c>
      <c r="L117">
        <v>0.9</v>
      </c>
      <c r="M117" s="1">
        <f t="shared" si="5"/>
        <v>0.30712415856394926</v>
      </c>
      <c r="N117" s="1">
        <f t="shared" si="6"/>
        <v>0.29971150763970511</v>
      </c>
      <c r="O117" s="1">
        <f t="shared" si="7"/>
        <v>0.60683566620365437</v>
      </c>
      <c r="P117" s="1">
        <f t="shared" si="8"/>
        <v>0.40388930441286469</v>
      </c>
      <c r="Q117">
        <v>52.06</v>
      </c>
      <c r="R117" s="1">
        <v>0</v>
      </c>
      <c r="S117" s="1">
        <v>48</v>
      </c>
      <c r="T117">
        <v>10</v>
      </c>
      <c r="U117">
        <v>6</v>
      </c>
      <c r="V117" s="1">
        <v>200</v>
      </c>
      <c r="W117" s="1">
        <v>200</v>
      </c>
      <c r="X117" s="1">
        <v>23</v>
      </c>
      <c r="Y117" s="1" t="s">
        <v>22</v>
      </c>
      <c r="Z117" s="1">
        <v>264.05</v>
      </c>
      <c r="AA117" s="1">
        <v>1.8</v>
      </c>
      <c r="AB117" s="1">
        <v>5</v>
      </c>
      <c r="AC117" s="1" t="s">
        <v>59</v>
      </c>
      <c r="AD117" s="1">
        <v>37</v>
      </c>
      <c r="AE117" s="1"/>
    </row>
    <row r="118" spans="1:31">
      <c r="A118" s="1">
        <v>113</v>
      </c>
      <c r="B118" s="2" t="s">
        <v>61</v>
      </c>
      <c r="C118">
        <v>400</v>
      </c>
      <c r="D118">
        <v>5</v>
      </c>
      <c r="E118" s="1" t="s">
        <v>26</v>
      </c>
      <c r="F118">
        <v>858</v>
      </c>
      <c r="G118">
        <v>1.218</v>
      </c>
      <c r="H118">
        <v>1.42</v>
      </c>
      <c r="I118">
        <v>81.42</v>
      </c>
      <c r="J118">
        <v>12.23</v>
      </c>
      <c r="K118">
        <v>2.17</v>
      </c>
      <c r="L118">
        <v>0.76</v>
      </c>
      <c r="M118" s="1">
        <f t="shared" si="5"/>
        <v>0.11265659543109802</v>
      </c>
      <c r="N118" s="1">
        <f t="shared" si="6"/>
        <v>2.2844509948415623E-2</v>
      </c>
      <c r="O118" s="1">
        <f t="shared" si="7"/>
        <v>0.13550110537951363</v>
      </c>
      <c r="P118" s="1">
        <f t="shared" si="8"/>
        <v>0.11201179071481208</v>
      </c>
      <c r="Q118">
        <v>3.9</v>
      </c>
      <c r="R118" s="1">
        <v>0</v>
      </c>
      <c r="S118" s="1">
        <v>96</v>
      </c>
      <c r="T118">
        <v>4.2750000000000004</v>
      </c>
      <c r="U118">
        <v>6.5</v>
      </c>
      <c r="V118" s="1">
        <v>100</v>
      </c>
      <c r="W118" s="1">
        <v>200</v>
      </c>
      <c r="X118" s="1">
        <v>25</v>
      </c>
      <c r="Y118" s="1" t="s">
        <v>2</v>
      </c>
      <c r="Z118" s="1">
        <v>500.13</v>
      </c>
      <c r="AA118" s="1">
        <v>1.875</v>
      </c>
      <c r="AB118" s="1">
        <v>8</v>
      </c>
      <c r="AC118" s="1" t="s">
        <v>60</v>
      </c>
      <c r="AD118" s="1">
        <v>44.63</v>
      </c>
      <c r="AE118" s="1"/>
    </row>
    <row r="119" spans="1:31">
      <c r="A119" s="1">
        <v>114</v>
      </c>
      <c r="B119" s="2" t="s">
        <v>61</v>
      </c>
      <c r="C119">
        <v>400</v>
      </c>
      <c r="D119">
        <v>5</v>
      </c>
      <c r="E119" s="1" t="s">
        <v>26</v>
      </c>
      <c r="F119">
        <v>858</v>
      </c>
      <c r="G119">
        <v>1.218</v>
      </c>
      <c r="H119">
        <v>1.42</v>
      </c>
      <c r="I119">
        <v>81.42</v>
      </c>
      <c r="J119">
        <v>12.23</v>
      </c>
      <c r="K119">
        <v>2.17</v>
      </c>
      <c r="L119">
        <v>0.76</v>
      </c>
      <c r="M119" s="1">
        <f t="shared" si="5"/>
        <v>0.11265659543109802</v>
      </c>
      <c r="N119" s="1">
        <f t="shared" si="6"/>
        <v>2.2844509948415623E-2</v>
      </c>
      <c r="O119" s="1">
        <f t="shared" si="7"/>
        <v>0.13550110537951363</v>
      </c>
      <c r="P119" s="1">
        <f t="shared" si="8"/>
        <v>0.11201179071481208</v>
      </c>
      <c r="Q119">
        <v>3.9</v>
      </c>
      <c r="R119" s="1">
        <v>0</v>
      </c>
      <c r="S119" s="1">
        <v>96</v>
      </c>
      <c r="T119">
        <v>1.4530000000000001</v>
      </c>
      <c r="U119">
        <v>6.5</v>
      </c>
      <c r="V119" s="1">
        <v>100</v>
      </c>
      <c r="W119" s="1">
        <v>200</v>
      </c>
      <c r="X119" s="1">
        <v>25</v>
      </c>
      <c r="Y119" s="1" t="s">
        <v>28</v>
      </c>
      <c r="Z119" s="1">
        <v>414.08</v>
      </c>
      <c r="AA119" s="1">
        <v>1.875</v>
      </c>
      <c r="AB119" s="1">
        <v>8</v>
      </c>
      <c r="AC119" s="1" t="s">
        <v>59</v>
      </c>
      <c r="AD119" s="1">
        <v>12.87</v>
      </c>
      <c r="AE119" s="1"/>
    </row>
    <row r="120" spans="1:31">
      <c r="A120" s="1">
        <v>115</v>
      </c>
      <c r="B120" s="2" t="s">
        <v>61</v>
      </c>
      <c r="C120">
        <v>400</v>
      </c>
      <c r="D120">
        <v>5</v>
      </c>
      <c r="E120" s="1" t="s">
        <v>29</v>
      </c>
      <c r="F120">
        <v>741</v>
      </c>
      <c r="G120">
        <v>1.1339999999999999</v>
      </c>
      <c r="H120">
        <v>1.53</v>
      </c>
      <c r="I120">
        <v>69.400000000000006</v>
      </c>
      <c r="J120">
        <v>23.7</v>
      </c>
      <c r="K120">
        <v>1.8</v>
      </c>
      <c r="L120">
        <v>2.19</v>
      </c>
      <c r="M120" s="1">
        <f t="shared" si="5"/>
        <v>0.25612391930835732</v>
      </c>
      <c r="N120" s="1">
        <f t="shared" si="6"/>
        <v>2.2231370934540962E-2</v>
      </c>
      <c r="O120" s="1">
        <f t="shared" si="7"/>
        <v>0.27835529024289829</v>
      </c>
      <c r="P120" s="1">
        <f t="shared" si="8"/>
        <v>0.37867435158501433</v>
      </c>
      <c r="Q120">
        <v>2.9</v>
      </c>
      <c r="R120" s="1">
        <v>0</v>
      </c>
      <c r="S120" s="1">
        <v>96</v>
      </c>
      <c r="T120">
        <v>4.2750000000000004</v>
      </c>
      <c r="U120">
        <v>6.5</v>
      </c>
      <c r="V120" s="1">
        <v>100</v>
      </c>
      <c r="W120" s="1">
        <v>200</v>
      </c>
      <c r="X120" s="1">
        <v>25</v>
      </c>
      <c r="Y120" s="1" t="s">
        <v>2</v>
      </c>
      <c r="Z120" s="1">
        <v>500.13</v>
      </c>
      <c r="AA120" s="1">
        <v>1.875</v>
      </c>
      <c r="AB120" s="1">
        <v>8</v>
      </c>
      <c r="AC120" s="1" t="s">
        <v>60</v>
      </c>
      <c r="AD120" s="1">
        <v>36.31</v>
      </c>
      <c r="AE120" s="1"/>
    </row>
    <row r="121" spans="1:31">
      <c r="A121" s="1">
        <v>116</v>
      </c>
      <c r="B121" s="2" t="s">
        <v>95</v>
      </c>
      <c r="C121">
        <v>400</v>
      </c>
      <c r="D121">
        <v>5</v>
      </c>
      <c r="E121" s="1" t="s">
        <v>29</v>
      </c>
      <c r="F121">
        <v>741</v>
      </c>
      <c r="G121">
        <v>1.1339999999999999</v>
      </c>
      <c r="H121">
        <v>1.53</v>
      </c>
      <c r="I121">
        <v>69.400000000000006</v>
      </c>
      <c r="J121">
        <v>23.7</v>
      </c>
      <c r="K121">
        <v>1.8</v>
      </c>
      <c r="L121">
        <v>2.19</v>
      </c>
      <c r="M121" s="1">
        <f t="shared" si="5"/>
        <v>0.25612391930835732</v>
      </c>
      <c r="N121" s="1">
        <f t="shared" si="6"/>
        <v>2.2231370934540962E-2</v>
      </c>
      <c r="O121" s="1">
        <f t="shared" si="7"/>
        <v>0.27835529024289829</v>
      </c>
      <c r="P121" s="1">
        <f t="shared" si="8"/>
        <v>0.37867435158501433</v>
      </c>
      <c r="Q121">
        <v>2.9</v>
      </c>
      <c r="R121" s="1">
        <v>0</v>
      </c>
      <c r="S121" s="1">
        <v>96</v>
      </c>
      <c r="T121">
        <v>1.4530000000000001</v>
      </c>
      <c r="U121">
        <v>6.5</v>
      </c>
      <c r="V121" s="1">
        <v>100</v>
      </c>
      <c r="W121" s="1">
        <v>200</v>
      </c>
      <c r="X121" s="1">
        <v>25</v>
      </c>
      <c r="Y121" s="1" t="s">
        <v>28</v>
      </c>
      <c r="Z121" s="1">
        <v>414.08</v>
      </c>
      <c r="AA121" s="1">
        <v>1.875</v>
      </c>
      <c r="AB121" s="1">
        <v>8</v>
      </c>
      <c r="AC121" s="1" t="s">
        <v>59</v>
      </c>
      <c r="AD121" s="1">
        <v>11.86</v>
      </c>
      <c r="AE121" s="1"/>
    </row>
    <row r="122" spans="1:31">
      <c r="A122" s="1">
        <v>117</v>
      </c>
      <c r="B122" s="2" t="s">
        <v>95</v>
      </c>
      <c r="C122">
        <v>400</v>
      </c>
      <c r="D122">
        <v>5</v>
      </c>
      <c r="E122" s="1" t="s">
        <v>29</v>
      </c>
      <c r="F122">
        <v>806</v>
      </c>
      <c r="G122">
        <v>1.2569999999999999</v>
      </c>
      <c r="H122">
        <v>1.56</v>
      </c>
      <c r="I122">
        <v>64.599999999999994</v>
      </c>
      <c r="J122">
        <v>19.5</v>
      </c>
      <c r="K122">
        <v>13</v>
      </c>
      <c r="L122">
        <v>1.1000000000000001</v>
      </c>
      <c r="M122" s="1">
        <f t="shared" si="5"/>
        <v>0.2263931888544892</v>
      </c>
      <c r="N122" s="1">
        <f t="shared" si="6"/>
        <v>0.1724900486510394</v>
      </c>
      <c r="O122" s="1">
        <f t="shared" si="7"/>
        <v>0.39888323750552862</v>
      </c>
      <c r="P122" s="1">
        <f t="shared" si="8"/>
        <v>0.20433436532507743</v>
      </c>
      <c r="Q122">
        <v>1.8</v>
      </c>
      <c r="R122" s="1">
        <v>0</v>
      </c>
      <c r="S122" s="1">
        <v>96</v>
      </c>
      <c r="T122">
        <v>4.2750000000000004</v>
      </c>
      <c r="U122">
        <v>6.5</v>
      </c>
      <c r="V122" s="1">
        <v>100</v>
      </c>
      <c r="W122" s="1">
        <v>200</v>
      </c>
      <c r="X122" s="1">
        <v>25</v>
      </c>
      <c r="Y122" s="1" t="s">
        <v>2</v>
      </c>
      <c r="Z122" s="1">
        <v>500.13</v>
      </c>
      <c r="AA122" s="1">
        <v>1.875</v>
      </c>
      <c r="AB122" s="1">
        <v>8</v>
      </c>
      <c r="AC122" s="1" t="s">
        <v>60</v>
      </c>
      <c r="AD122" s="1">
        <v>29.82</v>
      </c>
      <c r="AE122" s="1"/>
    </row>
    <row r="123" spans="1:31">
      <c r="A123" s="1">
        <v>118</v>
      </c>
      <c r="B123" s="2" t="s">
        <v>95</v>
      </c>
      <c r="C123">
        <v>400</v>
      </c>
      <c r="D123">
        <v>5</v>
      </c>
      <c r="E123" s="1" t="s">
        <v>29</v>
      </c>
      <c r="F123">
        <v>806</v>
      </c>
      <c r="G123">
        <v>1.2569999999999999</v>
      </c>
      <c r="H123">
        <v>1.56</v>
      </c>
      <c r="I123">
        <v>64.599999999999994</v>
      </c>
      <c r="J123">
        <v>19.5</v>
      </c>
      <c r="K123">
        <v>13</v>
      </c>
      <c r="L123">
        <v>1.1000000000000001</v>
      </c>
      <c r="M123" s="1">
        <f t="shared" si="5"/>
        <v>0.2263931888544892</v>
      </c>
      <c r="N123" s="1">
        <f t="shared" si="6"/>
        <v>0.1724900486510394</v>
      </c>
      <c r="O123" s="1">
        <f t="shared" si="7"/>
        <v>0.39888323750552862</v>
      </c>
      <c r="P123" s="1">
        <f t="shared" si="8"/>
        <v>0.20433436532507743</v>
      </c>
      <c r="Q123">
        <v>1.8</v>
      </c>
      <c r="R123" s="1">
        <v>0</v>
      </c>
      <c r="S123" s="1">
        <v>96</v>
      </c>
      <c r="T123">
        <v>1.4530000000000001</v>
      </c>
      <c r="U123">
        <v>6.5</v>
      </c>
      <c r="V123" s="1">
        <v>100</v>
      </c>
      <c r="W123" s="1">
        <v>200</v>
      </c>
      <c r="X123" s="1">
        <v>25</v>
      </c>
      <c r="Y123" s="1" t="s">
        <v>28</v>
      </c>
      <c r="Z123" s="1">
        <v>414.08</v>
      </c>
      <c r="AA123" s="1">
        <v>1.875</v>
      </c>
      <c r="AB123" s="1">
        <v>8</v>
      </c>
      <c r="AC123" s="1" t="s">
        <v>59</v>
      </c>
      <c r="AD123" s="1">
        <v>2.42</v>
      </c>
      <c r="AE123" s="1"/>
    </row>
    <row r="124" spans="1:31">
      <c r="A124" s="1">
        <v>119</v>
      </c>
      <c r="B124" s="2" t="s">
        <v>95</v>
      </c>
      <c r="C124">
        <v>400</v>
      </c>
      <c r="D124">
        <v>5</v>
      </c>
      <c r="E124" s="1" t="s">
        <v>29</v>
      </c>
      <c r="F124">
        <v>155</v>
      </c>
      <c r="G124">
        <v>1.3759999999999999</v>
      </c>
      <c r="H124">
        <v>8.8800000000000008</v>
      </c>
      <c r="I124">
        <v>64.599999999999994</v>
      </c>
      <c r="J124">
        <v>19.5</v>
      </c>
      <c r="K124">
        <v>13</v>
      </c>
      <c r="L124">
        <v>1.1000000000000001</v>
      </c>
      <c r="M124" s="1">
        <f t="shared" si="5"/>
        <v>0.2263931888544892</v>
      </c>
      <c r="N124" s="1">
        <f t="shared" si="6"/>
        <v>0.1724900486510394</v>
      </c>
      <c r="O124" s="1">
        <f t="shared" si="7"/>
        <v>0.39888323750552862</v>
      </c>
      <c r="P124" s="1">
        <f t="shared" si="8"/>
        <v>0.20433436532507743</v>
      </c>
      <c r="Q124">
        <v>1.8</v>
      </c>
      <c r="R124" s="1">
        <v>0</v>
      </c>
      <c r="S124" s="1">
        <v>96</v>
      </c>
      <c r="T124">
        <v>4.2750000000000004</v>
      </c>
      <c r="U124">
        <v>6.5</v>
      </c>
      <c r="V124" s="1">
        <v>100</v>
      </c>
      <c r="W124" s="1">
        <v>200</v>
      </c>
      <c r="X124" s="1">
        <v>25</v>
      </c>
      <c r="Y124" s="1" t="s">
        <v>2</v>
      </c>
      <c r="Z124" s="1">
        <v>500.13</v>
      </c>
      <c r="AA124" s="1">
        <v>1.875</v>
      </c>
      <c r="AB124" s="1">
        <v>8</v>
      </c>
      <c r="AC124" s="1" t="s">
        <v>60</v>
      </c>
      <c r="AD124" s="1">
        <v>8.5299999999999994</v>
      </c>
      <c r="AE124" s="1"/>
    </row>
    <row r="125" spans="1:31">
      <c r="A125" s="1">
        <v>120</v>
      </c>
      <c r="B125" s="2" t="s">
        <v>95</v>
      </c>
      <c r="C125">
        <v>400</v>
      </c>
      <c r="D125">
        <v>5</v>
      </c>
      <c r="E125" s="1" t="s">
        <v>29</v>
      </c>
      <c r="F125">
        <v>155</v>
      </c>
      <c r="G125">
        <v>1.3759999999999999</v>
      </c>
      <c r="H125">
        <v>8.8800000000000008</v>
      </c>
      <c r="I125">
        <v>64.599999999999994</v>
      </c>
      <c r="J125">
        <v>19.5</v>
      </c>
      <c r="K125">
        <v>13</v>
      </c>
      <c r="L125">
        <v>1.1000000000000001</v>
      </c>
      <c r="M125" s="1">
        <f t="shared" si="5"/>
        <v>0.2263931888544892</v>
      </c>
      <c r="N125" s="1">
        <f t="shared" si="6"/>
        <v>0.1724900486510394</v>
      </c>
      <c r="O125" s="1">
        <f t="shared" si="7"/>
        <v>0.39888323750552862</v>
      </c>
      <c r="P125" s="1">
        <f t="shared" si="8"/>
        <v>0.20433436532507743</v>
      </c>
      <c r="Q125">
        <v>1.8</v>
      </c>
      <c r="R125" s="1">
        <v>0</v>
      </c>
      <c r="S125" s="1">
        <v>96</v>
      </c>
      <c r="T125">
        <v>1.4530000000000001</v>
      </c>
      <c r="U125">
        <v>6.5</v>
      </c>
      <c r="V125" s="1">
        <v>100</v>
      </c>
      <c r="W125" s="1">
        <v>200</v>
      </c>
      <c r="X125" s="1">
        <v>25</v>
      </c>
      <c r="Y125" s="1" t="s">
        <v>28</v>
      </c>
      <c r="Z125" s="1">
        <v>414.08</v>
      </c>
      <c r="AA125" s="1">
        <v>1.875</v>
      </c>
      <c r="AB125" s="1">
        <v>8</v>
      </c>
      <c r="AC125" s="1" t="s">
        <v>59</v>
      </c>
      <c r="AD125" s="1">
        <v>2.64</v>
      </c>
      <c r="AE125" s="1"/>
    </row>
    <row r="126" spans="1:31">
      <c r="A126" s="1">
        <v>121</v>
      </c>
      <c r="B126" s="2" t="s">
        <v>95</v>
      </c>
      <c r="C126">
        <v>400</v>
      </c>
      <c r="D126">
        <v>5</v>
      </c>
      <c r="E126" s="1" t="s">
        <v>29</v>
      </c>
      <c r="F126">
        <v>155</v>
      </c>
      <c r="G126">
        <v>1.3759999999999999</v>
      </c>
      <c r="H126">
        <v>8.8800000000000008</v>
      </c>
      <c r="I126">
        <v>64.599999999999994</v>
      </c>
      <c r="J126">
        <v>19.5</v>
      </c>
      <c r="K126">
        <v>13</v>
      </c>
      <c r="L126">
        <v>1.1000000000000001</v>
      </c>
      <c r="M126" s="1">
        <f t="shared" si="5"/>
        <v>0.2263931888544892</v>
      </c>
      <c r="N126" s="1">
        <f t="shared" si="6"/>
        <v>0.1724900486510394</v>
      </c>
      <c r="O126" s="1">
        <f t="shared" si="7"/>
        <v>0.39888323750552862</v>
      </c>
      <c r="P126" s="1">
        <f t="shared" si="8"/>
        <v>0.20433436532507743</v>
      </c>
      <c r="Q126">
        <v>1.8</v>
      </c>
      <c r="R126" s="1">
        <v>0</v>
      </c>
      <c r="S126" s="1">
        <v>96</v>
      </c>
      <c r="T126">
        <v>1.1659999999999999</v>
      </c>
      <c r="U126">
        <v>6.5</v>
      </c>
      <c r="V126" s="1">
        <v>100</v>
      </c>
      <c r="W126" s="1">
        <v>200</v>
      </c>
      <c r="X126" s="1">
        <v>25</v>
      </c>
      <c r="Y126" s="1" t="s">
        <v>27</v>
      </c>
      <c r="Z126" s="1">
        <v>300.10000000000002</v>
      </c>
      <c r="AA126" s="1">
        <v>1.75</v>
      </c>
      <c r="AB126" s="1">
        <v>4</v>
      </c>
      <c r="AC126" s="1" t="s">
        <v>60</v>
      </c>
      <c r="AD126" s="1">
        <v>1.86</v>
      </c>
      <c r="AE126" s="1"/>
    </row>
    <row r="127" spans="1:31">
      <c r="A127" s="1">
        <v>122</v>
      </c>
      <c r="B127" s="2" t="s">
        <v>96</v>
      </c>
      <c r="C127" s="1">
        <v>1000</v>
      </c>
      <c r="D127" s="1">
        <v>2.8E-3</v>
      </c>
      <c r="E127" s="1" t="s">
        <v>31</v>
      </c>
      <c r="F127">
        <v>700</v>
      </c>
      <c r="G127">
        <v>0.25</v>
      </c>
      <c r="H127">
        <v>0.39700000000000002</v>
      </c>
      <c r="I127">
        <v>81.5</v>
      </c>
      <c r="J127">
        <v>13</v>
      </c>
      <c r="K127">
        <v>1.2</v>
      </c>
      <c r="L127">
        <v>2.1</v>
      </c>
      <c r="M127" s="1">
        <f t="shared" si="5"/>
        <v>0.11963190184049079</v>
      </c>
      <c r="N127" s="1">
        <f t="shared" si="6"/>
        <v>1.2620508326029798E-2</v>
      </c>
      <c r="O127" s="1">
        <f t="shared" si="7"/>
        <v>0.13225241016652059</v>
      </c>
      <c r="P127" s="1">
        <f t="shared" si="8"/>
        <v>0.30920245398773005</v>
      </c>
      <c r="Q127">
        <v>2.2999999999999998</v>
      </c>
      <c r="R127">
        <v>7.0000000000000007E-2</v>
      </c>
      <c r="S127" s="1">
        <v>3</v>
      </c>
      <c r="T127">
        <v>60</v>
      </c>
      <c r="U127">
        <v>7</v>
      </c>
      <c r="V127" s="1">
        <v>1000</v>
      </c>
      <c r="W127">
        <v>200</v>
      </c>
      <c r="X127">
        <v>25</v>
      </c>
      <c r="Y127" s="1" t="s">
        <v>30</v>
      </c>
      <c r="Z127" s="1">
        <v>414.08</v>
      </c>
      <c r="AA127" s="1">
        <v>1.875</v>
      </c>
      <c r="AB127" s="1">
        <v>8</v>
      </c>
      <c r="AC127" s="1" t="s">
        <v>59</v>
      </c>
      <c r="AD127" s="1">
        <v>9</v>
      </c>
      <c r="AE127" s="1"/>
    </row>
    <row r="128" spans="1:31">
      <c r="A128" s="1">
        <v>123</v>
      </c>
      <c r="B128" s="2" t="s">
        <v>96</v>
      </c>
      <c r="C128" s="1">
        <v>1000</v>
      </c>
      <c r="D128" s="1">
        <v>2.8E-3</v>
      </c>
      <c r="E128" s="1" t="s">
        <v>31</v>
      </c>
      <c r="F128">
        <v>700</v>
      </c>
      <c r="G128">
        <v>0.25</v>
      </c>
      <c r="H128">
        <v>0.39700000000000002</v>
      </c>
      <c r="I128">
        <v>81.5</v>
      </c>
      <c r="J128">
        <v>13</v>
      </c>
      <c r="K128">
        <v>1.2</v>
      </c>
      <c r="L128">
        <v>2.1</v>
      </c>
      <c r="M128" s="1">
        <f t="shared" si="5"/>
        <v>0.11963190184049079</v>
      </c>
      <c r="N128" s="1">
        <f t="shared" si="6"/>
        <v>1.2620508326029798E-2</v>
      </c>
      <c r="O128" s="1">
        <f t="shared" si="7"/>
        <v>0.13225241016652059</v>
      </c>
      <c r="P128" s="1">
        <f t="shared" si="8"/>
        <v>0.30920245398773005</v>
      </c>
      <c r="Q128">
        <v>2.2999999999999998</v>
      </c>
      <c r="R128">
        <v>7.0000000000000007E-2</v>
      </c>
      <c r="S128" s="1">
        <v>3</v>
      </c>
      <c r="T128">
        <v>60</v>
      </c>
      <c r="U128">
        <v>7</v>
      </c>
      <c r="V128" s="1">
        <v>1000</v>
      </c>
      <c r="W128">
        <v>200</v>
      </c>
      <c r="X128">
        <v>25</v>
      </c>
      <c r="Y128" s="1" t="s">
        <v>2</v>
      </c>
      <c r="Z128" s="1">
        <v>500.13</v>
      </c>
      <c r="AA128" s="1">
        <v>1.875</v>
      </c>
      <c r="AB128" s="1">
        <v>8</v>
      </c>
      <c r="AC128" s="1" t="s">
        <v>60</v>
      </c>
      <c r="AD128" s="1">
        <v>32.799999999999997</v>
      </c>
      <c r="AE128" s="1"/>
    </row>
    <row r="129" spans="1:31">
      <c r="A129" s="1">
        <v>124</v>
      </c>
      <c r="B129" s="2" t="s">
        <v>96</v>
      </c>
      <c r="C129" s="1">
        <v>1000</v>
      </c>
      <c r="D129" s="1">
        <v>2.8E-3</v>
      </c>
      <c r="E129" s="1" t="s">
        <v>32</v>
      </c>
      <c r="F129">
        <v>310</v>
      </c>
      <c r="G129">
        <v>0.125</v>
      </c>
      <c r="H129">
        <v>0.44800000000000001</v>
      </c>
      <c r="I129">
        <v>46.7</v>
      </c>
      <c r="J129">
        <v>13</v>
      </c>
      <c r="K129">
        <v>0.9</v>
      </c>
      <c r="L129">
        <v>1.5</v>
      </c>
      <c r="M129" s="1">
        <f t="shared" si="5"/>
        <v>0.20877944325481795</v>
      </c>
      <c r="N129" s="1">
        <f t="shared" si="6"/>
        <v>1.6518813092688895E-2</v>
      </c>
      <c r="O129" s="1">
        <f t="shared" si="7"/>
        <v>0.22529825634750686</v>
      </c>
      <c r="P129" s="1">
        <f t="shared" si="8"/>
        <v>0.38543897216274087</v>
      </c>
      <c r="Q129">
        <v>30.5</v>
      </c>
      <c r="R129">
        <v>29.2</v>
      </c>
      <c r="S129" s="1">
        <v>3</v>
      </c>
      <c r="T129">
        <v>60</v>
      </c>
      <c r="U129">
        <v>7</v>
      </c>
      <c r="V129" s="1">
        <v>1000</v>
      </c>
      <c r="W129">
        <v>200</v>
      </c>
      <c r="X129">
        <v>25</v>
      </c>
      <c r="Y129" s="1" t="s">
        <v>30</v>
      </c>
      <c r="Z129" s="1">
        <v>414.08</v>
      </c>
      <c r="AA129" s="1">
        <v>1.875</v>
      </c>
      <c r="AB129" s="1">
        <v>8</v>
      </c>
      <c r="AC129" s="1" t="s">
        <v>59</v>
      </c>
      <c r="AD129" s="1">
        <v>14.7</v>
      </c>
      <c r="AE129" s="1"/>
    </row>
    <row r="130" spans="1:31">
      <c r="A130" s="1">
        <v>125</v>
      </c>
      <c r="B130" s="2" t="s">
        <v>96</v>
      </c>
      <c r="C130" s="1">
        <v>1000</v>
      </c>
      <c r="D130" s="1">
        <v>2.8E-3</v>
      </c>
      <c r="E130" s="1" t="s">
        <v>32</v>
      </c>
      <c r="F130">
        <v>310</v>
      </c>
      <c r="G130">
        <v>0.125</v>
      </c>
      <c r="H130">
        <v>0.44800000000000001</v>
      </c>
      <c r="I130">
        <v>46.7</v>
      </c>
      <c r="J130">
        <v>13</v>
      </c>
      <c r="K130">
        <v>0.9</v>
      </c>
      <c r="L130">
        <v>1.5</v>
      </c>
      <c r="M130" s="1">
        <f t="shared" si="5"/>
        <v>0.20877944325481795</v>
      </c>
      <c r="N130" s="1">
        <f t="shared" si="6"/>
        <v>1.6518813092688895E-2</v>
      </c>
      <c r="O130" s="1">
        <f t="shared" si="7"/>
        <v>0.22529825634750686</v>
      </c>
      <c r="P130" s="1">
        <f t="shared" si="8"/>
        <v>0.38543897216274087</v>
      </c>
      <c r="Q130">
        <v>30.5</v>
      </c>
      <c r="R130">
        <v>29.2</v>
      </c>
      <c r="S130" s="1">
        <v>3</v>
      </c>
      <c r="T130">
        <v>60</v>
      </c>
      <c r="U130">
        <v>7</v>
      </c>
      <c r="V130" s="1">
        <v>1000</v>
      </c>
      <c r="W130">
        <v>200</v>
      </c>
      <c r="X130">
        <v>25</v>
      </c>
      <c r="Y130" s="1" t="s">
        <v>2</v>
      </c>
      <c r="Z130" s="1">
        <v>500.13</v>
      </c>
      <c r="AA130" s="1">
        <v>1.875</v>
      </c>
      <c r="AB130" s="1">
        <v>8</v>
      </c>
      <c r="AC130" s="1" t="s">
        <v>60</v>
      </c>
      <c r="AD130" s="1">
        <v>10.7</v>
      </c>
      <c r="AE130" s="1"/>
    </row>
    <row r="131" spans="1:31">
      <c r="A131" s="1">
        <v>126</v>
      </c>
      <c r="B131" s="2" t="s">
        <v>112</v>
      </c>
      <c r="C131">
        <v>850</v>
      </c>
      <c r="D131">
        <v>1</v>
      </c>
      <c r="E131" s="1" t="s">
        <v>31</v>
      </c>
      <c r="F131">
        <v>626</v>
      </c>
      <c r="G131">
        <v>2.42</v>
      </c>
      <c r="H131">
        <v>4.3</v>
      </c>
      <c r="I131">
        <v>65.3</v>
      </c>
      <c r="J131">
        <v>19</v>
      </c>
      <c r="K131">
        <v>8.8000000000000007</v>
      </c>
      <c r="L131">
        <v>1.6</v>
      </c>
      <c r="M131" s="1">
        <f t="shared" si="5"/>
        <v>0.21822358346094947</v>
      </c>
      <c r="N131" s="1">
        <f t="shared" si="6"/>
        <v>0.11551082914023192</v>
      </c>
      <c r="O131" s="1">
        <f t="shared" si="7"/>
        <v>0.33373441260118136</v>
      </c>
      <c r="P131" s="1">
        <f t="shared" si="8"/>
        <v>0.29402756508422667</v>
      </c>
      <c r="Q131">
        <f>100-I131-J131-K131-L131</f>
        <v>5.3000000000000025</v>
      </c>
      <c r="R131">
        <v>0</v>
      </c>
      <c r="S131">
        <v>48</v>
      </c>
      <c r="T131" s="1">
        <v>0.25</v>
      </c>
      <c r="U131">
        <v>7</v>
      </c>
      <c r="V131" s="1">
        <v>50</v>
      </c>
      <c r="W131">
        <v>220</v>
      </c>
      <c r="X131">
        <v>25</v>
      </c>
      <c r="Y131" s="1" t="s">
        <v>33</v>
      </c>
      <c r="Z131" s="1">
        <v>214</v>
      </c>
      <c r="AA131" s="1">
        <v>1.75</v>
      </c>
      <c r="AB131" s="1">
        <v>4</v>
      </c>
      <c r="AC131" s="1" t="s">
        <v>59</v>
      </c>
      <c r="AD131" s="1">
        <v>4.508</v>
      </c>
      <c r="AE131" s="1"/>
    </row>
    <row r="132" spans="1:31">
      <c r="A132" s="1">
        <v>127</v>
      </c>
      <c r="B132" s="2" t="s">
        <v>112</v>
      </c>
      <c r="C132">
        <v>850</v>
      </c>
      <c r="D132">
        <v>1</v>
      </c>
      <c r="E132" s="1" t="s">
        <v>31</v>
      </c>
      <c r="F132">
        <v>626</v>
      </c>
      <c r="G132">
        <v>2.42</v>
      </c>
      <c r="H132">
        <v>4.3</v>
      </c>
      <c r="I132">
        <v>65.3</v>
      </c>
      <c r="J132">
        <v>19</v>
      </c>
      <c r="K132">
        <v>8.8000000000000007</v>
      </c>
      <c r="L132">
        <v>1.6</v>
      </c>
      <c r="M132" s="1">
        <f t="shared" si="5"/>
        <v>0.21822358346094947</v>
      </c>
      <c r="N132" s="1">
        <f t="shared" si="6"/>
        <v>0.11551082914023192</v>
      </c>
      <c r="O132" s="1">
        <f t="shared" si="7"/>
        <v>0.33373441260118136</v>
      </c>
      <c r="P132" s="1">
        <f t="shared" si="8"/>
        <v>0.29402756508422667</v>
      </c>
      <c r="Q132">
        <f t="shared" ref="Q132:Q164" si="9">100-I132-J132-K132-L132</f>
        <v>5.3000000000000025</v>
      </c>
      <c r="R132">
        <v>0</v>
      </c>
      <c r="S132">
        <v>48</v>
      </c>
      <c r="T132" s="1">
        <v>0.25</v>
      </c>
      <c r="U132">
        <v>7</v>
      </c>
      <c r="V132" s="1">
        <v>50</v>
      </c>
      <c r="W132">
        <v>220</v>
      </c>
      <c r="X132">
        <v>25</v>
      </c>
      <c r="Y132" s="1" t="s">
        <v>34</v>
      </c>
      <c r="Z132" s="1">
        <v>300.10000000000002</v>
      </c>
      <c r="AA132" s="1">
        <v>1.75</v>
      </c>
      <c r="AB132" s="1">
        <v>4</v>
      </c>
      <c r="AC132" s="1" t="s">
        <v>60</v>
      </c>
      <c r="AD132" s="1">
        <v>4.9337603454702945</v>
      </c>
      <c r="AE132" s="1"/>
    </row>
    <row r="133" spans="1:31">
      <c r="A133" s="1">
        <v>128</v>
      </c>
      <c r="B133" s="2" t="s">
        <v>112</v>
      </c>
      <c r="C133">
        <v>850</v>
      </c>
      <c r="D133">
        <v>1</v>
      </c>
      <c r="E133" s="1" t="s">
        <v>31</v>
      </c>
      <c r="F133">
        <v>626</v>
      </c>
      <c r="G133">
        <v>2.42</v>
      </c>
      <c r="H133">
        <v>4.3</v>
      </c>
      <c r="I133">
        <v>65.3</v>
      </c>
      <c r="J133">
        <v>19</v>
      </c>
      <c r="K133">
        <v>8.8000000000000007</v>
      </c>
      <c r="L133">
        <v>1.6</v>
      </c>
      <c r="M133" s="1">
        <f t="shared" si="5"/>
        <v>0.21822358346094947</v>
      </c>
      <c r="N133" s="1">
        <f t="shared" si="6"/>
        <v>0.11551082914023192</v>
      </c>
      <c r="O133" s="1">
        <f t="shared" si="7"/>
        <v>0.33373441260118136</v>
      </c>
      <c r="P133" s="1">
        <f t="shared" si="8"/>
        <v>0.29402756508422667</v>
      </c>
      <c r="Q133">
        <f t="shared" si="9"/>
        <v>5.3000000000000025</v>
      </c>
      <c r="R133">
        <v>0</v>
      </c>
      <c r="S133">
        <v>48</v>
      </c>
      <c r="T133" s="1">
        <v>0.25</v>
      </c>
      <c r="U133">
        <v>7</v>
      </c>
      <c r="V133" s="1">
        <v>50</v>
      </c>
      <c r="W133">
        <v>220</v>
      </c>
      <c r="X133">
        <v>25</v>
      </c>
      <c r="Y133" s="1" t="s">
        <v>22</v>
      </c>
      <c r="Z133" s="1">
        <v>264.05</v>
      </c>
      <c r="AA133" s="1">
        <v>1.8</v>
      </c>
      <c r="AB133" s="1">
        <v>5</v>
      </c>
      <c r="AC133" s="1" t="s">
        <v>59</v>
      </c>
      <c r="AD133" s="1">
        <v>4.9367038803887082</v>
      </c>
      <c r="AE133" s="1"/>
    </row>
    <row r="134" spans="1:31">
      <c r="A134" s="1">
        <v>129</v>
      </c>
      <c r="B134" s="2" t="s">
        <v>112</v>
      </c>
      <c r="C134">
        <v>850</v>
      </c>
      <c r="D134">
        <v>1</v>
      </c>
      <c r="E134" s="1" t="s">
        <v>31</v>
      </c>
      <c r="F134">
        <v>626</v>
      </c>
      <c r="G134">
        <v>2.42</v>
      </c>
      <c r="H134">
        <v>4.3</v>
      </c>
      <c r="I134">
        <v>65.3</v>
      </c>
      <c r="J134">
        <v>19</v>
      </c>
      <c r="K134">
        <v>8.8000000000000007</v>
      </c>
      <c r="L134">
        <v>1.6</v>
      </c>
      <c r="M134" s="1">
        <f t="shared" si="5"/>
        <v>0.21822358346094947</v>
      </c>
      <c r="N134" s="1">
        <f t="shared" si="6"/>
        <v>0.11551082914023192</v>
      </c>
      <c r="O134" s="1">
        <f t="shared" si="7"/>
        <v>0.33373441260118136</v>
      </c>
      <c r="P134" s="1">
        <f t="shared" si="8"/>
        <v>0.29402756508422667</v>
      </c>
      <c r="Q134">
        <f t="shared" si="9"/>
        <v>5.3000000000000025</v>
      </c>
      <c r="R134">
        <v>0</v>
      </c>
      <c r="S134">
        <v>48</v>
      </c>
      <c r="T134" s="1">
        <v>0.25</v>
      </c>
      <c r="U134">
        <v>7</v>
      </c>
      <c r="V134" s="1">
        <v>50</v>
      </c>
      <c r="W134">
        <v>220</v>
      </c>
      <c r="X134">
        <v>25</v>
      </c>
      <c r="Y134" s="1" t="s">
        <v>35</v>
      </c>
      <c r="Z134" s="1">
        <v>314.05399999999997</v>
      </c>
      <c r="AA134" s="1">
        <v>1.833</v>
      </c>
      <c r="AB134" s="1">
        <v>6</v>
      </c>
      <c r="AC134" s="1" t="s">
        <v>59</v>
      </c>
      <c r="AD134" s="1">
        <v>4.8981474599327344</v>
      </c>
      <c r="AE134" s="1"/>
    </row>
    <row r="135" spans="1:31">
      <c r="A135" s="1">
        <v>130</v>
      </c>
      <c r="B135" s="2" t="s">
        <v>112</v>
      </c>
      <c r="C135">
        <v>850</v>
      </c>
      <c r="D135">
        <v>1</v>
      </c>
      <c r="E135" s="1" t="s">
        <v>31</v>
      </c>
      <c r="F135">
        <v>626</v>
      </c>
      <c r="G135">
        <v>2.42</v>
      </c>
      <c r="H135">
        <v>4.3</v>
      </c>
      <c r="I135">
        <v>65.3</v>
      </c>
      <c r="J135">
        <v>19</v>
      </c>
      <c r="K135">
        <v>8.8000000000000007</v>
      </c>
      <c r="L135">
        <v>1.6</v>
      </c>
      <c r="M135" s="1">
        <f t="shared" ref="M135:M198" si="10">(J135/16)/(I135/12)</f>
        <v>0.21822358346094947</v>
      </c>
      <c r="N135" s="1">
        <f t="shared" ref="N135:N198" si="11">(K135/14)/(I135/12)</f>
        <v>0.11551082914023192</v>
      </c>
      <c r="O135" s="1">
        <f t="shared" ref="O135:O198" si="12">(J135/16+K135/14)/(I135/12)</f>
        <v>0.33373441260118136</v>
      </c>
      <c r="P135" s="1">
        <f t="shared" ref="P135:P198" si="13">(L135/1)/(I135/12)</f>
        <v>0.29402756508422667</v>
      </c>
      <c r="Q135">
        <f t="shared" si="9"/>
        <v>5.3000000000000025</v>
      </c>
      <c r="R135">
        <v>0</v>
      </c>
      <c r="S135">
        <v>48</v>
      </c>
      <c r="T135" s="1">
        <v>0.25</v>
      </c>
      <c r="U135">
        <v>7</v>
      </c>
      <c r="V135" s="1">
        <v>50</v>
      </c>
      <c r="W135">
        <v>220</v>
      </c>
      <c r="X135">
        <v>25</v>
      </c>
      <c r="Y135" s="1" t="s">
        <v>30</v>
      </c>
      <c r="Z135" s="1">
        <v>414.08</v>
      </c>
      <c r="AA135" s="1">
        <v>1.875</v>
      </c>
      <c r="AB135" s="1">
        <v>8</v>
      </c>
      <c r="AC135" s="1" t="s">
        <v>59</v>
      </c>
      <c r="AD135" s="1">
        <v>4.9395182150100858</v>
      </c>
      <c r="AE135" s="1"/>
    </row>
    <row r="136" spans="1:31">
      <c r="A136" s="1">
        <v>131</v>
      </c>
      <c r="B136" s="2" t="s">
        <v>112</v>
      </c>
      <c r="C136">
        <v>850</v>
      </c>
      <c r="D136">
        <v>1</v>
      </c>
      <c r="E136" s="1" t="s">
        <v>31</v>
      </c>
      <c r="F136">
        <v>626</v>
      </c>
      <c r="G136">
        <v>2.42</v>
      </c>
      <c r="H136">
        <v>4.3</v>
      </c>
      <c r="I136">
        <v>65.3</v>
      </c>
      <c r="J136">
        <v>19</v>
      </c>
      <c r="K136">
        <v>8.8000000000000007</v>
      </c>
      <c r="L136">
        <v>1.6</v>
      </c>
      <c r="M136" s="1">
        <f t="shared" si="10"/>
        <v>0.21822358346094947</v>
      </c>
      <c r="N136" s="1">
        <f t="shared" si="11"/>
        <v>0.11551082914023192</v>
      </c>
      <c r="O136" s="1">
        <f t="shared" si="12"/>
        <v>0.33373441260118136</v>
      </c>
      <c r="P136" s="1">
        <f t="shared" si="13"/>
        <v>0.29402756508422667</v>
      </c>
      <c r="Q136">
        <f t="shared" si="9"/>
        <v>5.3000000000000025</v>
      </c>
      <c r="R136">
        <v>0</v>
      </c>
      <c r="S136">
        <v>48</v>
      </c>
      <c r="T136" s="1">
        <v>0.25</v>
      </c>
      <c r="U136">
        <v>7</v>
      </c>
      <c r="V136" s="1">
        <v>50</v>
      </c>
      <c r="W136">
        <v>220</v>
      </c>
      <c r="X136">
        <v>25</v>
      </c>
      <c r="Y136" s="1" t="s">
        <v>2</v>
      </c>
      <c r="Z136" s="1">
        <v>500.13</v>
      </c>
      <c r="AA136" s="1">
        <v>1.875</v>
      </c>
      <c r="AB136" s="1">
        <v>8</v>
      </c>
      <c r="AC136" s="1" t="s">
        <v>60</v>
      </c>
      <c r="AD136" s="1">
        <v>4.9880910251314985</v>
      </c>
      <c r="AE136" s="1"/>
    </row>
    <row r="137" spans="1:31">
      <c r="A137" s="1">
        <v>132</v>
      </c>
      <c r="B137" s="2" t="s">
        <v>112</v>
      </c>
      <c r="C137">
        <v>850</v>
      </c>
      <c r="D137">
        <v>1</v>
      </c>
      <c r="E137" s="1" t="s">
        <v>32</v>
      </c>
      <c r="F137">
        <v>186</v>
      </c>
      <c r="G137">
        <v>0.85399999999999998</v>
      </c>
      <c r="H137">
        <v>5.0999999999999996</v>
      </c>
      <c r="I137">
        <v>54.2</v>
      </c>
      <c r="J137">
        <v>15.7</v>
      </c>
      <c r="K137">
        <v>5.6</v>
      </c>
      <c r="L137">
        <v>1.2</v>
      </c>
      <c r="M137" s="1">
        <f t="shared" si="10"/>
        <v>0.21725092250922509</v>
      </c>
      <c r="N137" s="1">
        <f t="shared" si="11"/>
        <v>8.8560885608856083E-2</v>
      </c>
      <c r="O137" s="1">
        <f t="shared" si="12"/>
        <v>0.30581180811808117</v>
      </c>
      <c r="P137" s="1">
        <f t="shared" si="13"/>
        <v>0.26568265682656828</v>
      </c>
      <c r="Q137">
        <f t="shared" si="9"/>
        <v>23.3</v>
      </c>
      <c r="R137">
        <v>13.5</v>
      </c>
      <c r="S137">
        <v>48</v>
      </c>
      <c r="T137" s="1">
        <v>0.25</v>
      </c>
      <c r="U137">
        <v>7</v>
      </c>
      <c r="V137" s="1">
        <v>50</v>
      </c>
      <c r="W137">
        <v>220</v>
      </c>
      <c r="X137">
        <v>25</v>
      </c>
      <c r="Y137" s="1" t="s">
        <v>33</v>
      </c>
      <c r="Z137" s="1">
        <v>214</v>
      </c>
      <c r="AA137" s="1">
        <v>1.75</v>
      </c>
      <c r="AB137" s="1">
        <v>4</v>
      </c>
      <c r="AC137" s="1" t="s">
        <v>59</v>
      </c>
      <c r="AD137" s="1">
        <v>4.9205752446010029</v>
      </c>
      <c r="AE137" s="1"/>
    </row>
    <row r="138" spans="1:31">
      <c r="A138" s="1">
        <v>133</v>
      </c>
      <c r="B138" s="2" t="s">
        <v>112</v>
      </c>
      <c r="C138">
        <v>850</v>
      </c>
      <c r="D138">
        <v>1</v>
      </c>
      <c r="E138" s="1" t="s">
        <v>32</v>
      </c>
      <c r="F138">
        <v>186</v>
      </c>
      <c r="G138">
        <v>0.85399999999999998</v>
      </c>
      <c r="H138">
        <v>5.0999999999999996</v>
      </c>
      <c r="I138">
        <v>54.2</v>
      </c>
      <c r="J138">
        <v>15.7</v>
      </c>
      <c r="K138">
        <v>5.6</v>
      </c>
      <c r="L138">
        <v>1.2</v>
      </c>
      <c r="M138" s="1">
        <f t="shared" si="10"/>
        <v>0.21725092250922509</v>
      </c>
      <c r="N138" s="1">
        <f t="shared" si="11"/>
        <v>8.8560885608856083E-2</v>
      </c>
      <c r="O138" s="1">
        <f t="shared" si="12"/>
        <v>0.30581180811808117</v>
      </c>
      <c r="P138" s="1">
        <f t="shared" si="13"/>
        <v>0.26568265682656828</v>
      </c>
      <c r="Q138">
        <f t="shared" si="9"/>
        <v>23.3</v>
      </c>
      <c r="R138">
        <v>13.5</v>
      </c>
      <c r="S138">
        <v>48</v>
      </c>
      <c r="T138" s="1">
        <v>0.25</v>
      </c>
      <c r="U138">
        <v>7</v>
      </c>
      <c r="V138" s="1">
        <v>50</v>
      </c>
      <c r="W138">
        <v>220</v>
      </c>
      <c r="X138">
        <v>25</v>
      </c>
      <c r="Y138" s="1" t="s">
        <v>34</v>
      </c>
      <c r="Z138" s="1">
        <v>300.10000000000002</v>
      </c>
      <c r="AA138" s="1">
        <v>1.75</v>
      </c>
      <c r="AB138" s="1">
        <v>4</v>
      </c>
      <c r="AC138" s="1" t="s">
        <v>60</v>
      </c>
      <c r="AD138" s="1">
        <v>4.9734175545328601</v>
      </c>
      <c r="AE138" s="1"/>
    </row>
    <row r="139" spans="1:31">
      <c r="A139" s="1">
        <v>134</v>
      </c>
      <c r="B139" s="2" t="s">
        <v>112</v>
      </c>
      <c r="C139">
        <v>850</v>
      </c>
      <c r="D139">
        <v>1</v>
      </c>
      <c r="E139" s="1" t="s">
        <v>32</v>
      </c>
      <c r="F139">
        <v>186</v>
      </c>
      <c r="G139">
        <v>0.85399999999999998</v>
      </c>
      <c r="H139">
        <v>5.0999999999999996</v>
      </c>
      <c r="I139">
        <v>54.2</v>
      </c>
      <c r="J139">
        <v>15.7</v>
      </c>
      <c r="K139">
        <v>5.6</v>
      </c>
      <c r="L139">
        <v>1.2</v>
      </c>
      <c r="M139" s="1">
        <f t="shared" si="10"/>
        <v>0.21725092250922509</v>
      </c>
      <c r="N139" s="1">
        <f t="shared" si="11"/>
        <v>8.8560885608856083E-2</v>
      </c>
      <c r="O139" s="1">
        <f t="shared" si="12"/>
        <v>0.30581180811808117</v>
      </c>
      <c r="P139" s="1">
        <f t="shared" si="13"/>
        <v>0.26568265682656828</v>
      </c>
      <c r="Q139">
        <f t="shared" si="9"/>
        <v>23.3</v>
      </c>
      <c r="R139">
        <v>13.5</v>
      </c>
      <c r="S139">
        <v>48</v>
      </c>
      <c r="T139" s="1">
        <v>0.25</v>
      </c>
      <c r="U139">
        <v>7</v>
      </c>
      <c r="V139" s="1">
        <v>50</v>
      </c>
      <c r="W139">
        <v>220</v>
      </c>
      <c r="X139">
        <v>25</v>
      </c>
      <c r="Y139" s="1" t="s">
        <v>22</v>
      </c>
      <c r="Z139" s="1">
        <v>264.05</v>
      </c>
      <c r="AA139" s="1">
        <v>1.8</v>
      </c>
      <c r="AB139" s="1">
        <v>5</v>
      </c>
      <c r="AC139" s="1" t="s">
        <v>59</v>
      </c>
      <c r="AD139" s="1">
        <v>4.9422088807720312</v>
      </c>
      <c r="AE139" s="1"/>
    </row>
    <row r="140" spans="1:31">
      <c r="A140" s="1">
        <v>135</v>
      </c>
      <c r="B140" s="2" t="s">
        <v>112</v>
      </c>
      <c r="C140">
        <v>850</v>
      </c>
      <c r="D140">
        <v>1</v>
      </c>
      <c r="E140" s="1" t="s">
        <v>32</v>
      </c>
      <c r="F140">
        <v>186</v>
      </c>
      <c r="G140">
        <v>0.85399999999999998</v>
      </c>
      <c r="H140">
        <v>5.0999999999999996</v>
      </c>
      <c r="I140">
        <v>54.2</v>
      </c>
      <c r="J140">
        <v>15.7</v>
      </c>
      <c r="K140">
        <v>5.6</v>
      </c>
      <c r="L140">
        <v>1.2</v>
      </c>
      <c r="M140" s="1">
        <f t="shared" si="10"/>
        <v>0.21725092250922509</v>
      </c>
      <c r="N140" s="1">
        <f t="shared" si="11"/>
        <v>8.8560885608856083E-2</v>
      </c>
      <c r="O140" s="1">
        <f t="shared" si="12"/>
        <v>0.30581180811808117</v>
      </c>
      <c r="P140" s="1">
        <f t="shared" si="13"/>
        <v>0.26568265682656828</v>
      </c>
      <c r="Q140">
        <f t="shared" si="9"/>
        <v>23.3</v>
      </c>
      <c r="R140">
        <v>13.5</v>
      </c>
      <c r="S140">
        <v>48</v>
      </c>
      <c r="T140" s="1">
        <v>0.25</v>
      </c>
      <c r="U140">
        <v>7</v>
      </c>
      <c r="V140" s="1">
        <v>50</v>
      </c>
      <c r="W140">
        <v>220</v>
      </c>
      <c r="X140">
        <v>25</v>
      </c>
      <c r="Y140" s="1" t="s">
        <v>35</v>
      </c>
      <c r="Z140" s="1">
        <v>314.05399999999997</v>
      </c>
      <c r="AA140" s="1">
        <v>1.833</v>
      </c>
      <c r="AB140" s="1">
        <v>6</v>
      </c>
      <c r="AC140" s="1" t="s">
        <v>59</v>
      </c>
      <c r="AD140" s="1">
        <v>4.9495908575360072</v>
      </c>
      <c r="AE140" s="1"/>
    </row>
    <row r="141" spans="1:31">
      <c r="A141" s="1">
        <v>136</v>
      </c>
      <c r="B141" s="2" t="s">
        <v>112</v>
      </c>
      <c r="C141">
        <v>850</v>
      </c>
      <c r="D141">
        <v>1</v>
      </c>
      <c r="E141" s="1" t="s">
        <v>32</v>
      </c>
      <c r="F141">
        <v>186</v>
      </c>
      <c r="G141">
        <v>0.85399999999999998</v>
      </c>
      <c r="H141">
        <v>5.0999999999999996</v>
      </c>
      <c r="I141">
        <v>54.2</v>
      </c>
      <c r="J141">
        <v>15.7</v>
      </c>
      <c r="K141">
        <v>5.6</v>
      </c>
      <c r="L141">
        <v>1.2</v>
      </c>
      <c r="M141" s="1">
        <f t="shared" si="10"/>
        <v>0.21725092250922509</v>
      </c>
      <c r="N141" s="1">
        <f t="shared" si="11"/>
        <v>8.8560885608856083E-2</v>
      </c>
      <c r="O141" s="1">
        <f t="shared" si="12"/>
        <v>0.30581180811808117</v>
      </c>
      <c r="P141" s="1">
        <f t="shared" si="13"/>
        <v>0.26568265682656828</v>
      </c>
      <c r="Q141">
        <f t="shared" si="9"/>
        <v>23.3</v>
      </c>
      <c r="R141">
        <v>13.5</v>
      </c>
      <c r="S141">
        <v>48</v>
      </c>
      <c r="T141" s="1">
        <v>0.25</v>
      </c>
      <c r="U141">
        <v>7</v>
      </c>
      <c r="V141" s="1">
        <v>50</v>
      </c>
      <c r="W141">
        <v>220</v>
      </c>
      <c r="X141">
        <v>25</v>
      </c>
      <c r="Y141" s="1" t="s">
        <v>30</v>
      </c>
      <c r="Z141" s="1">
        <v>414.08</v>
      </c>
      <c r="AA141" s="1">
        <v>1.875</v>
      </c>
      <c r="AB141" s="1">
        <v>8</v>
      </c>
      <c r="AC141" s="1" t="s">
        <v>59</v>
      </c>
      <c r="AD141" s="1">
        <v>4.9878143055235666</v>
      </c>
      <c r="AE141" s="1"/>
    </row>
    <row r="142" spans="1:31">
      <c r="A142" s="1">
        <v>137</v>
      </c>
      <c r="B142" s="2" t="s">
        <v>112</v>
      </c>
      <c r="C142">
        <v>850</v>
      </c>
      <c r="D142">
        <v>1</v>
      </c>
      <c r="E142" s="1" t="s">
        <v>32</v>
      </c>
      <c r="F142">
        <v>186</v>
      </c>
      <c r="G142">
        <v>0.85399999999999998</v>
      </c>
      <c r="H142">
        <v>5.0999999999999996</v>
      </c>
      <c r="I142">
        <v>54.2</v>
      </c>
      <c r="J142">
        <v>15.7</v>
      </c>
      <c r="K142">
        <v>5.6</v>
      </c>
      <c r="L142">
        <v>1.2</v>
      </c>
      <c r="M142" s="1">
        <f t="shared" si="10"/>
        <v>0.21725092250922509</v>
      </c>
      <c r="N142" s="1">
        <f t="shared" si="11"/>
        <v>8.8560885608856083E-2</v>
      </c>
      <c r="O142" s="1">
        <f t="shared" si="12"/>
        <v>0.30581180811808117</v>
      </c>
      <c r="P142" s="1">
        <f t="shared" si="13"/>
        <v>0.26568265682656828</v>
      </c>
      <c r="Q142">
        <f t="shared" si="9"/>
        <v>23.3</v>
      </c>
      <c r="R142">
        <v>13.5</v>
      </c>
      <c r="S142">
        <v>48</v>
      </c>
      <c r="T142" s="1">
        <v>0.25</v>
      </c>
      <c r="U142">
        <v>7</v>
      </c>
      <c r="V142" s="1">
        <v>50</v>
      </c>
      <c r="W142">
        <v>220</v>
      </c>
      <c r="X142">
        <v>25</v>
      </c>
      <c r="Y142" s="1" t="s">
        <v>2</v>
      </c>
      <c r="Z142" s="1">
        <v>500.13</v>
      </c>
      <c r="AA142" s="1">
        <v>1.875</v>
      </c>
      <c r="AB142" s="1">
        <v>8</v>
      </c>
      <c r="AC142" s="1" t="s">
        <v>60</v>
      </c>
      <c r="AD142" s="1">
        <v>4.9946734365221932</v>
      </c>
      <c r="AE142" s="1"/>
    </row>
    <row r="143" spans="1:31">
      <c r="A143" s="1">
        <v>138</v>
      </c>
      <c r="B143" s="2" t="s">
        <v>112</v>
      </c>
      <c r="C143">
        <v>850</v>
      </c>
      <c r="D143">
        <v>1</v>
      </c>
      <c r="E143" s="1" t="s">
        <v>32</v>
      </c>
      <c r="F143">
        <v>8.1999999999999993</v>
      </c>
      <c r="G143">
        <v>5.0999999999999997E-2</v>
      </c>
      <c r="H143">
        <v>6.9</v>
      </c>
      <c r="I143">
        <v>42</v>
      </c>
      <c r="J143">
        <v>18.3</v>
      </c>
      <c r="K143">
        <v>5</v>
      </c>
      <c r="L143">
        <v>1.1000000000000001</v>
      </c>
      <c r="M143" s="1">
        <f t="shared" si="10"/>
        <v>0.32678571428571429</v>
      </c>
      <c r="N143" s="1">
        <f t="shared" si="11"/>
        <v>0.10204081632653061</v>
      </c>
      <c r="O143" s="1">
        <f t="shared" si="12"/>
        <v>0.4288265306122449</v>
      </c>
      <c r="P143" s="1">
        <f t="shared" si="13"/>
        <v>0.31428571428571433</v>
      </c>
      <c r="Q143">
        <f t="shared" si="9"/>
        <v>33.6</v>
      </c>
      <c r="R143">
        <v>17.3</v>
      </c>
      <c r="S143">
        <v>48</v>
      </c>
      <c r="T143" s="1">
        <v>0.25</v>
      </c>
      <c r="U143">
        <v>7</v>
      </c>
      <c r="V143" s="1">
        <v>50</v>
      </c>
      <c r="W143">
        <v>220</v>
      </c>
      <c r="X143">
        <v>25</v>
      </c>
      <c r="Y143" s="1" t="s">
        <v>33</v>
      </c>
      <c r="Z143" s="1">
        <v>214</v>
      </c>
      <c r="AA143" s="1">
        <v>1.75</v>
      </c>
      <c r="AB143" s="1">
        <v>4</v>
      </c>
      <c r="AC143" s="1" t="s">
        <v>59</v>
      </c>
      <c r="AD143" s="1">
        <v>4.9352486176813368</v>
      </c>
      <c r="AE143" s="1"/>
    </row>
    <row r="144" spans="1:31">
      <c r="A144" s="1">
        <v>139</v>
      </c>
      <c r="B144" s="2" t="s">
        <v>112</v>
      </c>
      <c r="C144">
        <v>850</v>
      </c>
      <c r="D144">
        <v>1</v>
      </c>
      <c r="E144" s="1" t="s">
        <v>32</v>
      </c>
      <c r="F144">
        <v>8.1999999999999993</v>
      </c>
      <c r="G144">
        <v>5.0999999999999997E-2</v>
      </c>
      <c r="H144">
        <v>6.9</v>
      </c>
      <c r="I144">
        <v>42</v>
      </c>
      <c r="J144">
        <v>18.3</v>
      </c>
      <c r="K144">
        <v>5</v>
      </c>
      <c r="L144">
        <v>1.1000000000000001</v>
      </c>
      <c r="M144" s="1">
        <f t="shared" si="10"/>
        <v>0.32678571428571429</v>
      </c>
      <c r="N144" s="1">
        <f t="shared" si="11"/>
        <v>0.10204081632653061</v>
      </c>
      <c r="O144" s="1">
        <f t="shared" si="12"/>
        <v>0.4288265306122449</v>
      </c>
      <c r="P144" s="1">
        <f t="shared" si="13"/>
        <v>0.31428571428571433</v>
      </c>
      <c r="Q144">
        <f t="shared" si="9"/>
        <v>33.6</v>
      </c>
      <c r="R144">
        <v>17.3</v>
      </c>
      <c r="S144">
        <v>48</v>
      </c>
      <c r="T144" s="1">
        <v>0.25</v>
      </c>
      <c r="U144">
        <v>7</v>
      </c>
      <c r="V144" s="1">
        <v>50</v>
      </c>
      <c r="W144">
        <v>220</v>
      </c>
      <c r="X144">
        <v>25</v>
      </c>
      <c r="Y144" s="1" t="s">
        <v>34</v>
      </c>
      <c r="Z144" s="1">
        <v>300.10000000000002</v>
      </c>
      <c r="AA144" s="1">
        <v>1.75</v>
      </c>
      <c r="AB144" s="1">
        <v>4</v>
      </c>
      <c r="AC144" s="1" t="s">
        <v>60</v>
      </c>
      <c r="AD144" s="1">
        <v>4.9880910251314985</v>
      </c>
      <c r="AE144" s="1"/>
    </row>
    <row r="145" spans="1:31">
      <c r="A145" s="1">
        <v>140</v>
      </c>
      <c r="B145" s="2" t="s">
        <v>112</v>
      </c>
      <c r="C145">
        <v>850</v>
      </c>
      <c r="D145">
        <v>1</v>
      </c>
      <c r="E145" s="1" t="s">
        <v>32</v>
      </c>
      <c r="F145">
        <v>8.1999999999999993</v>
      </c>
      <c r="G145">
        <v>5.0999999999999997E-2</v>
      </c>
      <c r="H145">
        <v>6.9</v>
      </c>
      <c r="I145">
        <v>42</v>
      </c>
      <c r="J145">
        <v>18.3</v>
      </c>
      <c r="K145">
        <v>5</v>
      </c>
      <c r="L145">
        <v>1.1000000000000001</v>
      </c>
      <c r="M145" s="1">
        <f t="shared" si="10"/>
        <v>0.32678571428571429</v>
      </c>
      <c r="N145" s="1">
        <f t="shared" si="11"/>
        <v>0.10204081632653061</v>
      </c>
      <c r="O145" s="1">
        <f t="shared" si="12"/>
        <v>0.4288265306122449</v>
      </c>
      <c r="P145" s="1">
        <f t="shared" si="13"/>
        <v>0.31428571428571433</v>
      </c>
      <c r="Q145">
        <f t="shared" si="9"/>
        <v>33.6</v>
      </c>
      <c r="R145">
        <v>17.3</v>
      </c>
      <c r="S145">
        <v>48</v>
      </c>
      <c r="T145" s="1">
        <v>0.25</v>
      </c>
      <c r="U145">
        <v>7</v>
      </c>
      <c r="V145" s="1">
        <v>50</v>
      </c>
      <c r="W145">
        <v>220</v>
      </c>
      <c r="X145">
        <v>25</v>
      </c>
      <c r="Y145" s="1" t="s">
        <v>22</v>
      </c>
      <c r="Z145" s="1">
        <v>264.05</v>
      </c>
      <c r="AA145" s="1">
        <v>1.8</v>
      </c>
      <c r="AB145" s="1">
        <v>5</v>
      </c>
      <c r="AC145" s="1" t="s">
        <v>59</v>
      </c>
      <c r="AD145" s="1">
        <v>4.9616674543206534</v>
      </c>
      <c r="AE145" s="1"/>
    </row>
    <row r="146" spans="1:31">
      <c r="A146" s="1">
        <v>141</v>
      </c>
      <c r="B146" s="2" t="s">
        <v>112</v>
      </c>
      <c r="C146">
        <v>850</v>
      </c>
      <c r="D146">
        <v>1</v>
      </c>
      <c r="E146" s="1" t="s">
        <v>32</v>
      </c>
      <c r="F146">
        <v>8.1999999999999993</v>
      </c>
      <c r="G146">
        <v>5.0999999999999997E-2</v>
      </c>
      <c r="H146">
        <v>6.9</v>
      </c>
      <c r="I146">
        <v>42</v>
      </c>
      <c r="J146">
        <v>18.3</v>
      </c>
      <c r="K146">
        <v>5</v>
      </c>
      <c r="L146">
        <v>1.1000000000000001</v>
      </c>
      <c r="M146" s="1">
        <f t="shared" si="10"/>
        <v>0.32678571428571429</v>
      </c>
      <c r="N146" s="1">
        <f t="shared" si="11"/>
        <v>0.10204081632653061</v>
      </c>
      <c r="O146" s="1">
        <f t="shared" si="12"/>
        <v>0.4288265306122449</v>
      </c>
      <c r="P146" s="1">
        <f t="shared" si="13"/>
        <v>0.31428571428571433</v>
      </c>
      <c r="Q146">
        <f t="shared" si="9"/>
        <v>33.6</v>
      </c>
      <c r="R146">
        <v>17.3</v>
      </c>
      <c r="S146">
        <v>48</v>
      </c>
      <c r="T146" s="1">
        <v>0.25</v>
      </c>
      <c r="U146">
        <v>7</v>
      </c>
      <c r="V146" s="1">
        <v>50</v>
      </c>
      <c r="W146">
        <v>220</v>
      </c>
      <c r="X146">
        <v>25</v>
      </c>
      <c r="Y146" s="1" t="s">
        <v>35</v>
      </c>
      <c r="Z146" s="1">
        <v>314.05399999999997</v>
      </c>
      <c r="AA146" s="1">
        <v>1.833</v>
      </c>
      <c r="AB146" s="1">
        <v>6</v>
      </c>
      <c r="AC146" s="1" t="s">
        <v>59</v>
      </c>
      <c r="AD146" s="1">
        <v>4.9762946649871429</v>
      </c>
      <c r="AE146" s="1"/>
    </row>
    <row r="147" spans="1:31">
      <c r="A147" s="1">
        <v>142</v>
      </c>
      <c r="B147" s="2" t="s">
        <v>112</v>
      </c>
      <c r="C147">
        <v>850</v>
      </c>
      <c r="D147">
        <v>1</v>
      </c>
      <c r="E147" s="1" t="s">
        <v>32</v>
      </c>
      <c r="F147">
        <v>8.1999999999999993</v>
      </c>
      <c r="G147">
        <v>5.0999999999999997E-2</v>
      </c>
      <c r="H147">
        <v>6.9</v>
      </c>
      <c r="I147">
        <v>42</v>
      </c>
      <c r="J147">
        <v>18.3</v>
      </c>
      <c r="K147">
        <v>5</v>
      </c>
      <c r="L147">
        <v>1.1000000000000001</v>
      </c>
      <c r="M147" s="1">
        <f t="shared" si="10"/>
        <v>0.32678571428571429</v>
      </c>
      <c r="N147" s="1">
        <f t="shared" si="11"/>
        <v>0.10204081632653061</v>
      </c>
      <c r="O147" s="1">
        <f t="shared" si="12"/>
        <v>0.4288265306122449</v>
      </c>
      <c r="P147" s="1">
        <f t="shared" si="13"/>
        <v>0.31428571428571433</v>
      </c>
      <c r="Q147">
        <f t="shared" si="9"/>
        <v>33.6</v>
      </c>
      <c r="R147">
        <v>17.3</v>
      </c>
      <c r="S147">
        <v>48</v>
      </c>
      <c r="T147" s="1">
        <v>0.25</v>
      </c>
      <c r="U147">
        <v>7</v>
      </c>
      <c r="V147" s="1">
        <v>50</v>
      </c>
      <c r="W147">
        <v>220</v>
      </c>
      <c r="X147">
        <v>25</v>
      </c>
      <c r="Y147" s="1" t="s">
        <v>30</v>
      </c>
      <c r="Z147" s="1">
        <v>414.08</v>
      </c>
      <c r="AA147" s="1">
        <v>1.875</v>
      </c>
      <c r="AB147" s="1">
        <v>8</v>
      </c>
      <c r="AC147" s="1" t="s">
        <v>59</v>
      </c>
      <c r="AD147" s="1">
        <v>4.9911663121254266</v>
      </c>
      <c r="AE147" s="1"/>
    </row>
    <row r="148" spans="1:31">
      <c r="A148" s="1">
        <v>143</v>
      </c>
      <c r="B148" s="2" t="s">
        <v>112</v>
      </c>
      <c r="C148">
        <v>850</v>
      </c>
      <c r="D148">
        <v>1</v>
      </c>
      <c r="E148" s="1" t="s">
        <v>32</v>
      </c>
      <c r="F148">
        <v>8.1999999999999993</v>
      </c>
      <c r="G148">
        <v>5.0999999999999997E-2</v>
      </c>
      <c r="H148">
        <v>6.9</v>
      </c>
      <c r="I148">
        <v>42</v>
      </c>
      <c r="J148">
        <v>18.3</v>
      </c>
      <c r="K148">
        <v>5</v>
      </c>
      <c r="L148">
        <v>1.1000000000000001</v>
      </c>
      <c r="M148" s="1">
        <f t="shared" si="10"/>
        <v>0.32678571428571429</v>
      </c>
      <c r="N148" s="1">
        <f t="shared" si="11"/>
        <v>0.10204081632653061</v>
      </c>
      <c r="O148" s="1">
        <f t="shared" si="12"/>
        <v>0.4288265306122449</v>
      </c>
      <c r="P148" s="1">
        <f t="shared" si="13"/>
        <v>0.31428571428571433</v>
      </c>
      <c r="Q148">
        <f t="shared" si="9"/>
        <v>33.6</v>
      </c>
      <c r="R148">
        <v>17.3</v>
      </c>
      <c r="S148">
        <v>48</v>
      </c>
      <c r="T148" s="1">
        <v>0.25</v>
      </c>
      <c r="U148">
        <v>7</v>
      </c>
      <c r="V148" s="1">
        <v>50</v>
      </c>
      <c r="W148">
        <v>220</v>
      </c>
      <c r="X148">
        <v>25</v>
      </c>
      <c r="Y148" s="1" t="s">
        <v>2</v>
      </c>
      <c r="Z148" s="1">
        <v>500.13</v>
      </c>
      <c r="AA148" s="1">
        <v>1.875</v>
      </c>
      <c r="AB148" s="1">
        <v>8</v>
      </c>
      <c r="AC148" s="1" t="s">
        <v>60</v>
      </c>
      <c r="AD148" s="1">
        <v>4.9923044251092668</v>
      </c>
      <c r="AE148" s="1"/>
    </row>
    <row r="149" spans="1:31">
      <c r="A149" s="1">
        <v>144</v>
      </c>
      <c r="B149" s="2" t="s">
        <v>112</v>
      </c>
      <c r="C149">
        <v>850</v>
      </c>
      <c r="D149">
        <v>1</v>
      </c>
      <c r="E149" s="1" t="s">
        <v>32</v>
      </c>
      <c r="F149">
        <v>7.4</v>
      </c>
      <c r="G149">
        <v>4.9000000000000002E-2</v>
      </c>
      <c r="H149">
        <v>7.4</v>
      </c>
      <c r="I149">
        <v>53.4</v>
      </c>
      <c r="J149">
        <v>13</v>
      </c>
      <c r="K149">
        <v>1</v>
      </c>
      <c r="L149">
        <v>0.9</v>
      </c>
      <c r="M149" s="1">
        <f t="shared" si="10"/>
        <v>0.18258426966292135</v>
      </c>
      <c r="N149" s="1">
        <f t="shared" si="11"/>
        <v>1.6051364365971106E-2</v>
      </c>
      <c r="O149" s="1">
        <f t="shared" si="12"/>
        <v>0.19863563402889245</v>
      </c>
      <c r="P149" s="1">
        <f t="shared" si="13"/>
        <v>0.20224719101123595</v>
      </c>
      <c r="Q149">
        <f t="shared" si="9"/>
        <v>31.700000000000003</v>
      </c>
      <c r="R149">
        <v>8.1999999999999993</v>
      </c>
      <c r="S149">
        <v>48</v>
      </c>
      <c r="T149" s="1">
        <v>0.25</v>
      </c>
      <c r="U149">
        <v>7</v>
      </c>
      <c r="V149" s="1">
        <v>50</v>
      </c>
      <c r="W149">
        <v>220</v>
      </c>
      <c r="X149">
        <v>25</v>
      </c>
      <c r="Y149" s="1" t="s">
        <v>33</v>
      </c>
      <c r="Z149" s="1">
        <v>214</v>
      </c>
      <c r="AA149" s="1">
        <v>1.75</v>
      </c>
      <c r="AB149" s="1">
        <v>4</v>
      </c>
      <c r="AC149" s="1" t="s">
        <v>59</v>
      </c>
      <c r="AD149" s="1">
        <v>4.6257816036770834</v>
      </c>
      <c r="AE149" s="1"/>
    </row>
    <row r="150" spans="1:31">
      <c r="A150" s="1">
        <v>145</v>
      </c>
      <c r="B150" s="2" t="s">
        <v>112</v>
      </c>
      <c r="C150">
        <v>850</v>
      </c>
      <c r="D150">
        <v>1</v>
      </c>
      <c r="E150" s="1" t="s">
        <v>32</v>
      </c>
      <c r="F150">
        <v>7.4</v>
      </c>
      <c r="G150">
        <v>4.9000000000000002E-2</v>
      </c>
      <c r="H150">
        <v>7.4</v>
      </c>
      <c r="I150">
        <v>53.4</v>
      </c>
      <c r="J150">
        <v>13</v>
      </c>
      <c r="K150">
        <v>1</v>
      </c>
      <c r="L150">
        <v>0.9</v>
      </c>
      <c r="M150" s="1">
        <f t="shared" si="10"/>
        <v>0.18258426966292135</v>
      </c>
      <c r="N150" s="1">
        <f t="shared" si="11"/>
        <v>1.6051364365971106E-2</v>
      </c>
      <c r="O150" s="1">
        <f t="shared" si="12"/>
        <v>0.19863563402889245</v>
      </c>
      <c r="P150" s="1">
        <f t="shared" si="13"/>
        <v>0.20224719101123595</v>
      </c>
      <c r="Q150">
        <f t="shared" si="9"/>
        <v>31.700000000000003</v>
      </c>
      <c r="R150">
        <v>8.1999999999999993</v>
      </c>
      <c r="S150">
        <v>48</v>
      </c>
      <c r="T150" s="1">
        <v>0.25</v>
      </c>
      <c r="U150">
        <v>7</v>
      </c>
      <c r="V150" s="1">
        <v>50</v>
      </c>
      <c r="W150">
        <v>220</v>
      </c>
      <c r="X150">
        <v>25</v>
      </c>
      <c r="Y150" s="1" t="s">
        <v>34</v>
      </c>
      <c r="Z150" s="1">
        <v>300.10000000000002</v>
      </c>
      <c r="AA150" s="1">
        <v>1.75</v>
      </c>
      <c r="AB150" s="1">
        <v>4</v>
      </c>
      <c r="AC150" s="1" t="s">
        <v>60</v>
      </c>
      <c r="AD150" s="1">
        <v>4.927462376071178</v>
      </c>
      <c r="AE150" s="1"/>
    </row>
    <row r="151" spans="1:31">
      <c r="A151" s="1">
        <v>146</v>
      </c>
      <c r="B151" s="2" t="s">
        <v>112</v>
      </c>
      <c r="C151">
        <v>850</v>
      </c>
      <c r="D151">
        <v>1</v>
      </c>
      <c r="E151" s="1" t="s">
        <v>32</v>
      </c>
      <c r="F151">
        <v>7.4</v>
      </c>
      <c r="G151">
        <v>4.9000000000000002E-2</v>
      </c>
      <c r="H151">
        <v>7.4</v>
      </c>
      <c r="I151">
        <v>53.4</v>
      </c>
      <c r="J151">
        <v>13</v>
      </c>
      <c r="K151">
        <v>1</v>
      </c>
      <c r="L151">
        <v>0.9</v>
      </c>
      <c r="M151" s="1">
        <f t="shared" si="10"/>
        <v>0.18258426966292135</v>
      </c>
      <c r="N151" s="1">
        <f t="shared" si="11"/>
        <v>1.6051364365971106E-2</v>
      </c>
      <c r="O151" s="1">
        <f t="shared" si="12"/>
        <v>0.19863563402889245</v>
      </c>
      <c r="P151" s="1">
        <f t="shared" si="13"/>
        <v>0.20224719101123595</v>
      </c>
      <c r="Q151">
        <f t="shared" si="9"/>
        <v>31.700000000000003</v>
      </c>
      <c r="R151">
        <v>8.1999999999999993</v>
      </c>
      <c r="S151">
        <v>48</v>
      </c>
      <c r="T151" s="1">
        <v>0.25</v>
      </c>
      <c r="U151">
        <v>7</v>
      </c>
      <c r="V151" s="1">
        <v>50</v>
      </c>
      <c r="W151">
        <v>220</v>
      </c>
      <c r="X151">
        <v>25</v>
      </c>
      <c r="Y151" s="1" t="s">
        <v>22</v>
      </c>
      <c r="Z151" s="1">
        <v>264.05</v>
      </c>
      <c r="AA151" s="1">
        <v>1.8</v>
      </c>
      <c r="AB151" s="1">
        <v>5</v>
      </c>
      <c r="AC151" s="1" t="s">
        <v>59</v>
      </c>
      <c r="AD151" s="1">
        <v>4.6637406276837181</v>
      </c>
      <c r="AE151" s="1"/>
    </row>
    <row r="152" spans="1:31">
      <c r="A152" s="1">
        <v>147</v>
      </c>
      <c r="B152" s="2" t="s">
        <v>112</v>
      </c>
      <c r="C152">
        <v>850</v>
      </c>
      <c r="D152">
        <v>1</v>
      </c>
      <c r="E152" s="1" t="s">
        <v>32</v>
      </c>
      <c r="F152">
        <v>7.4</v>
      </c>
      <c r="G152">
        <v>4.9000000000000002E-2</v>
      </c>
      <c r="H152">
        <v>7.4</v>
      </c>
      <c r="I152">
        <v>53.4</v>
      </c>
      <c r="J152">
        <v>13</v>
      </c>
      <c r="K152">
        <v>1</v>
      </c>
      <c r="L152">
        <v>0.9</v>
      </c>
      <c r="M152" s="1">
        <f t="shared" si="10"/>
        <v>0.18258426966292135</v>
      </c>
      <c r="N152" s="1">
        <f t="shared" si="11"/>
        <v>1.6051364365971106E-2</v>
      </c>
      <c r="O152" s="1">
        <f t="shared" si="12"/>
        <v>0.19863563402889245</v>
      </c>
      <c r="P152" s="1">
        <f t="shared" si="13"/>
        <v>0.20224719101123595</v>
      </c>
      <c r="Q152">
        <f t="shared" si="9"/>
        <v>31.700000000000003</v>
      </c>
      <c r="R152">
        <v>8.1999999999999993</v>
      </c>
      <c r="S152">
        <v>48</v>
      </c>
      <c r="T152" s="1">
        <v>0.25</v>
      </c>
      <c r="U152">
        <v>7</v>
      </c>
      <c r="V152" s="1">
        <v>50</v>
      </c>
      <c r="W152">
        <v>220</v>
      </c>
      <c r="X152">
        <v>25</v>
      </c>
      <c r="Y152" s="1" t="s">
        <v>35</v>
      </c>
      <c r="Z152" s="1">
        <v>314.05399999999997</v>
      </c>
      <c r="AA152" s="1">
        <v>1.833</v>
      </c>
      <c r="AB152" s="1">
        <v>6</v>
      </c>
      <c r="AC152" s="1" t="s">
        <v>59</v>
      </c>
      <c r="AD152" s="1">
        <v>4.8981474599327344</v>
      </c>
      <c r="AE152" s="1"/>
    </row>
    <row r="153" spans="1:31">
      <c r="A153" s="1">
        <v>148</v>
      </c>
      <c r="B153" s="2" t="s">
        <v>112</v>
      </c>
      <c r="C153">
        <v>850</v>
      </c>
      <c r="D153">
        <v>1</v>
      </c>
      <c r="E153" s="1" t="s">
        <v>32</v>
      </c>
      <c r="F153">
        <v>7.4</v>
      </c>
      <c r="G153">
        <v>4.9000000000000002E-2</v>
      </c>
      <c r="H153">
        <v>7.4</v>
      </c>
      <c r="I153">
        <v>53.4</v>
      </c>
      <c r="J153">
        <v>13</v>
      </c>
      <c r="K153">
        <v>1</v>
      </c>
      <c r="L153">
        <v>0.9</v>
      </c>
      <c r="M153" s="1">
        <f t="shared" si="10"/>
        <v>0.18258426966292135</v>
      </c>
      <c r="N153" s="1">
        <f t="shared" si="11"/>
        <v>1.6051364365971106E-2</v>
      </c>
      <c r="O153" s="1">
        <f t="shared" si="12"/>
        <v>0.19863563402889245</v>
      </c>
      <c r="P153" s="1">
        <f t="shared" si="13"/>
        <v>0.20224719101123595</v>
      </c>
      <c r="Q153">
        <f t="shared" si="9"/>
        <v>31.700000000000003</v>
      </c>
      <c r="R153">
        <v>8.1999999999999993</v>
      </c>
      <c r="S153">
        <v>48</v>
      </c>
      <c r="T153" s="1">
        <v>0.25</v>
      </c>
      <c r="U153">
        <v>7</v>
      </c>
      <c r="V153" s="1">
        <v>50</v>
      </c>
      <c r="W153">
        <v>220</v>
      </c>
      <c r="X153">
        <v>25</v>
      </c>
      <c r="Y153" s="1" t="s">
        <v>30</v>
      </c>
      <c r="Z153" s="1">
        <v>414.08</v>
      </c>
      <c r="AA153" s="1">
        <v>1.875</v>
      </c>
      <c r="AB153" s="1">
        <v>8</v>
      </c>
      <c r="AC153" s="1" t="s">
        <v>59</v>
      </c>
      <c r="AD153" s="1">
        <v>4.9408786696547056</v>
      </c>
      <c r="AE153" s="1"/>
    </row>
    <row r="154" spans="1:31">
      <c r="A154" s="1">
        <v>149</v>
      </c>
      <c r="B154" s="2" t="s">
        <v>112</v>
      </c>
      <c r="C154">
        <v>850</v>
      </c>
      <c r="D154">
        <v>1</v>
      </c>
      <c r="E154" s="1" t="s">
        <v>32</v>
      </c>
      <c r="F154">
        <v>7.4</v>
      </c>
      <c r="G154">
        <v>4.9000000000000002E-2</v>
      </c>
      <c r="H154">
        <v>7.4</v>
      </c>
      <c r="I154">
        <v>53.4</v>
      </c>
      <c r="J154">
        <v>13</v>
      </c>
      <c r="K154">
        <v>1</v>
      </c>
      <c r="L154">
        <v>0.9</v>
      </c>
      <c r="M154" s="1">
        <f t="shared" si="10"/>
        <v>0.18258426966292135</v>
      </c>
      <c r="N154" s="1">
        <f t="shared" si="11"/>
        <v>1.6051364365971106E-2</v>
      </c>
      <c r="O154" s="1">
        <f t="shared" si="12"/>
        <v>0.19863563402889245</v>
      </c>
      <c r="P154" s="1">
        <f t="shared" si="13"/>
        <v>0.20224719101123595</v>
      </c>
      <c r="Q154">
        <f t="shared" si="9"/>
        <v>31.700000000000003</v>
      </c>
      <c r="R154">
        <v>8.1999999999999993</v>
      </c>
      <c r="S154">
        <v>48</v>
      </c>
      <c r="T154" s="1">
        <v>0.25</v>
      </c>
      <c r="U154">
        <v>7</v>
      </c>
      <c r="V154" s="1">
        <v>50</v>
      </c>
      <c r="W154">
        <v>220</v>
      </c>
      <c r="X154">
        <v>25</v>
      </c>
      <c r="Y154" s="1" t="s">
        <v>2</v>
      </c>
      <c r="Z154" s="1">
        <v>500.13</v>
      </c>
      <c r="AA154" s="1">
        <v>1.875</v>
      </c>
      <c r="AB154" s="1">
        <v>8</v>
      </c>
      <c r="AC154" s="1" t="s">
        <v>60</v>
      </c>
      <c r="AD154" s="1">
        <v>4.9856891573458393</v>
      </c>
      <c r="AE154" s="1"/>
    </row>
    <row r="155" spans="1:31">
      <c r="A155" s="1">
        <v>150</v>
      </c>
      <c r="B155" s="2" t="s">
        <v>113</v>
      </c>
      <c r="C155">
        <v>600</v>
      </c>
      <c r="D155">
        <v>2</v>
      </c>
      <c r="E155" s="1" t="s">
        <v>31</v>
      </c>
      <c r="F155">
        <v>310.92</v>
      </c>
      <c r="G155">
        <v>0.16619999999999999</v>
      </c>
      <c r="H155">
        <v>2.0099999999999998</v>
      </c>
      <c r="I155">
        <v>85.56</v>
      </c>
      <c r="J155">
        <v>9.86</v>
      </c>
      <c r="K155">
        <v>4.53</v>
      </c>
      <c r="L155">
        <v>0</v>
      </c>
      <c r="M155" s="1">
        <f t="shared" si="10"/>
        <v>8.6430575035063115E-2</v>
      </c>
      <c r="N155" s="1">
        <f t="shared" si="11"/>
        <v>4.5381687036666001E-2</v>
      </c>
      <c r="O155" s="1">
        <f t="shared" si="12"/>
        <v>0.13181226207172911</v>
      </c>
      <c r="P155" s="1">
        <f t="shared" si="13"/>
        <v>0</v>
      </c>
      <c r="Q155">
        <f t="shared" si="9"/>
        <v>4.9999999999998046E-2</v>
      </c>
      <c r="R155">
        <v>0.02</v>
      </c>
      <c r="S155">
        <v>48</v>
      </c>
      <c r="T155">
        <v>0.4</v>
      </c>
      <c r="U155">
        <v>6</v>
      </c>
      <c r="V155" s="1">
        <v>100</v>
      </c>
      <c r="W155">
        <v>120</v>
      </c>
      <c r="X155">
        <v>25</v>
      </c>
      <c r="Y155" s="1" t="s">
        <v>30</v>
      </c>
      <c r="Z155" s="1">
        <v>414.08</v>
      </c>
      <c r="AA155" s="1">
        <v>1.875</v>
      </c>
      <c r="AB155" s="1">
        <v>8</v>
      </c>
      <c r="AC155" s="1" t="s">
        <v>59</v>
      </c>
      <c r="AD155" s="1">
        <v>1.8169999999999999</v>
      </c>
      <c r="AE155" s="1"/>
    </row>
    <row r="156" spans="1:31">
      <c r="A156" s="1">
        <v>151</v>
      </c>
      <c r="B156" s="2" t="s">
        <v>113</v>
      </c>
      <c r="C156">
        <v>600</v>
      </c>
      <c r="D156">
        <v>2</v>
      </c>
      <c r="E156" s="1" t="s">
        <v>31</v>
      </c>
      <c r="F156">
        <v>310.92</v>
      </c>
      <c r="G156">
        <v>0.16619999999999999</v>
      </c>
      <c r="H156">
        <v>2.0099999999999998</v>
      </c>
      <c r="I156">
        <v>85.56</v>
      </c>
      <c r="J156">
        <v>9.86</v>
      </c>
      <c r="K156">
        <v>4.53</v>
      </c>
      <c r="L156">
        <v>0</v>
      </c>
      <c r="M156" s="1">
        <f t="shared" si="10"/>
        <v>8.6430575035063115E-2</v>
      </c>
      <c r="N156" s="1">
        <f t="shared" si="11"/>
        <v>4.5381687036666001E-2</v>
      </c>
      <c r="O156" s="1">
        <f t="shared" si="12"/>
        <v>0.13181226207172911</v>
      </c>
      <c r="P156" s="1">
        <f t="shared" si="13"/>
        <v>0</v>
      </c>
      <c r="Q156">
        <f t="shared" si="9"/>
        <v>4.9999999999998046E-2</v>
      </c>
      <c r="R156">
        <v>0.02</v>
      </c>
      <c r="S156">
        <v>48</v>
      </c>
      <c r="T156">
        <v>0.4</v>
      </c>
      <c r="U156">
        <v>6</v>
      </c>
      <c r="V156" s="1">
        <v>100</v>
      </c>
      <c r="W156">
        <v>120</v>
      </c>
      <c r="X156">
        <v>25</v>
      </c>
      <c r="Y156" s="1" t="s">
        <v>2</v>
      </c>
      <c r="Z156" s="1">
        <v>500.13</v>
      </c>
      <c r="AA156" s="1">
        <v>1.875</v>
      </c>
      <c r="AB156" s="1">
        <v>8</v>
      </c>
      <c r="AC156" s="1" t="s">
        <v>60</v>
      </c>
      <c r="AD156" s="1">
        <v>3.3010000000000002</v>
      </c>
      <c r="AE156" s="1"/>
    </row>
    <row r="157" spans="1:31">
      <c r="A157" s="1">
        <v>152</v>
      </c>
      <c r="B157" s="2" t="s">
        <v>113</v>
      </c>
      <c r="C157">
        <v>600</v>
      </c>
      <c r="D157">
        <v>2</v>
      </c>
      <c r="E157" s="1" t="s">
        <v>32</v>
      </c>
      <c r="F157">
        <v>179.32</v>
      </c>
      <c r="G157">
        <v>0.1003</v>
      </c>
      <c r="H157">
        <v>2.13</v>
      </c>
      <c r="I157">
        <v>77.47</v>
      </c>
      <c r="J157">
        <v>16.84</v>
      </c>
      <c r="K157">
        <v>3.18</v>
      </c>
      <c r="L157">
        <v>0</v>
      </c>
      <c r="M157" s="1">
        <f t="shared" si="10"/>
        <v>0.16303085065186523</v>
      </c>
      <c r="N157" s="1">
        <f t="shared" si="11"/>
        <v>3.5184126574342139E-2</v>
      </c>
      <c r="O157" s="1">
        <f t="shared" si="12"/>
        <v>0.19821497722620737</v>
      </c>
      <c r="P157" s="1">
        <f t="shared" si="13"/>
        <v>0</v>
      </c>
      <c r="Q157">
        <f t="shared" si="9"/>
        <v>2.5100000000000011</v>
      </c>
      <c r="R157">
        <v>0.12</v>
      </c>
      <c r="S157">
        <v>48</v>
      </c>
      <c r="T157">
        <v>0.4</v>
      </c>
      <c r="U157">
        <v>6</v>
      </c>
      <c r="V157" s="1">
        <v>100</v>
      </c>
      <c r="W157">
        <v>120</v>
      </c>
      <c r="X157">
        <v>25</v>
      </c>
      <c r="Y157" s="1" t="s">
        <v>30</v>
      </c>
      <c r="Z157" s="1">
        <v>414.08</v>
      </c>
      <c r="AA157" s="1">
        <v>1.875</v>
      </c>
      <c r="AB157" s="1">
        <v>8</v>
      </c>
      <c r="AC157" s="1" t="s">
        <v>59</v>
      </c>
      <c r="AD157" s="1">
        <v>2.6150000000000002</v>
      </c>
      <c r="AE157" s="1"/>
    </row>
    <row r="158" spans="1:31">
      <c r="A158" s="1">
        <v>153</v>
      </c>
      <c r="B158" s="2" t="s">
        <v>113</v>
      </c>
      <c r="C158">
        <v>600</v>
      </c>
      <c r="D158">
        <v>2</v>
      </c>
      <c r="E158" s="1" t="s">
        <v>32</v>
      </c>
      <c r="F158">
        <v>179.32</v>
      </c>
      <c r="G158">
        <v>0.1003</v>
      </c>
      <c r="H158">
        <v>2.13</v>
      </c>
      <c r="I158">
        <v>77.47</v>
      </c>
      <c r="J158">
        <v>16.84</v>
      </c>
      <c r="K158">
        <v>3.18</v>
      </c>
      <c r="L158">
        <v>0</v>
      </c>
      <c r="M158" s="1">
        <f t="shared" si="10"/>
        <v>0.16303085065186523</v>
      </c>
      <c r="N158" s="1">
        <f t="shared" si="11"/>
        <v>3.5184126574342139E-2</v>
      </c>
      <c r="O158" s="1">
        <f t="shared" si="12"/>
        <v>0.19821497722620737</v>
      </c>
      <c r="P158" s="1">
        <f t="shared" si="13"/>
        <v>0</v>
      </c>
      <c r="Q158">
        <f t="shared" si="9"/>
        <v>2.5100000000000011</v>
      </c>
      <c r="R158">
        <v>0.12</v>
      </c>
      <c r="S158">
        <v>48</v>
      </c>
      <c r="T158">
        <v>0.4</v>
      </c>
      <c r="U158">
        <v>6</v>
      </c>
      <c r="V158" s="1">
        <v>100</v>
      </c>
      <c r="W158">
        <v>120</v>
      </c>
      <c r="X158">
        <v>25</v>
      </c>
      <c r="Y158" s="1" t="s">
        <v>2</v>
      </c>
      <c r="Z158" s="1">
        <v>500.13</v>
      </c>
      <c r="AA158" s="1">
        <v>1.875</v>
      </c>
      <c r="AB158" s="1">
        <v>8</v>
      </c>
      <c r="AC158" s="1" t="s">
        <v>60</v>
      </c>
      <c r="AD158" s="1">
        <v>5.5289999999999999</v>
      </c>
      <c r="AE158" s="1"/>
    </row>
    <row r="159" spans="1:31">
      <c r="A159" s="1">
        <v>154</v>
      </c>
      <c r="B159" s="2" t="s">
        <v>113</v>
      </c>
      <c r="C159">
        <v>600</v>
      </c>
      <c r="D159">
        <v>2</v>
      </c>
      <c r="E159" s="1" t="s">
        <v>32</v>
      </c>
      <c r="F159">
        <v>173.61</v>
      </c>
      <c r="G159">
        <v>8.8999999999999996E-2</v>
      </c>
      <c r="H159">
        <v>2.23</v>
      </c>
      <c r="I159">
        <v>70.349999999999994</v>
      </c>
      <c r="J159">
        <v>20.13</v>
      </c>
      <c r="K159">
        <v>2.13</v>
      </c>
      <c r="L159">
        <v>0</v>
      </c>
      <c r="M159" s="1">
        <f t="shared" si="10"/>
        <v>0.21460554371002133</v>
      </c>
      <c r="N159" s="1">
        <f t="shared" si="11"/>
        <v>2.5951873286628083E-2</v>
      </c>
      <c r="O159" s="1">
        <f t="shared" si="12"/>
        <v>0.2405574169966494</v>
      </c>
      <c r="P159" s="1">
        <f t="shared" si="13"/>
        <v>0</v>
      </c>
      <c r="Q159">
        <f t="shared" si="9"/>
        <v>7.3900000000000068</v>
      </c>
      <c r="R159">
        <v>3.52</v>
      </c>
      <c r="S159">
        <v>48</v>
      </c>
      <c r="T159">
        <v>0.4</v>
      </c>
      <c r="U159">
        <v>6</v>
      </c>
      <c r="V159" s="1">
        <v>100</v>
      </c>
      <c r="W159">
        <v>120</v>
      </c>
      <c r="X159">
        <v>25</v>
      </c>
      <c r="Y159" s="1" t="s">
        <v>30</v>
      </c>
      <c r="Z159" s="1">
        <v>414.08</v>
      </c>
      <c r="AA159" s="1">
        <v>1.875</v>
      </c>
      <c r="AB159" s="1">
        <v>8</v>
      </c>
      <c r="AC159" s="1" t="s">
        <v>59</v>
      </c>
      <c r="AD159" s="1">
        <v>2.89</v>
      </c>
      <c r="AE159" s="1"/>
    </row>
    <row r="160" spans="1:31">
      <c r="A160" s="1">
        <v>155</v>
      </c>
      <c r="B160" s="2" t="s">
        <v>113</v>
      </c>
      <c r="C160">
        <v>600</v>
      </c>
      <c r="D160">
        <v>2</v>
      </c>
      <c r="E160" s="1" t="s">
        <v>32</v>
      </c>
      <c r="F160">
        <v>173.61</v>
      </c>
      <c r="G160">
        <v>8.8999999999999996E-2</v>
      </c>
      <c r="H160">
        <v>2.23</v>
      </c>
      <c r="I160">
        <v>70.349999999999994</v>
      </c>
      <c r="J160">
        <v>20.13</v>
      </c>
      <c r="K160">
        <v>2.13</v>
      </c>
      <c r="L160">
        <v>0</v>
      </c>
      <c r="M160" s="1">
        <f t="shared" si="10"/>
        <v>0.21460554371002133</v>
      </c>
      <c r="N160" s="1">
        <f t="shared" si="11"/>
        <v>2.5951873286628083E-2</v>
      </c>
      <c r="O160" s="1">
        <f t="shared" si="12"/>
        <v>0.2405574169966494</v>
      </c>
      <c r="P160" s="1">
        <f t="shared" si="13"/>
        <v>0</v>
      </c>
      <c r="Q160">
        <f t="shared" si="9"/>
        <v>7.3900000000000068</v>
      </c>
      <c r="R160">
        <v>3.52</v>
      </c>
      <c r="S160">
        <v>48</v>
      </c>
      <c r="T160">
        <v>0.4</v>
      </c>
      <c r="U160">
        <v>6</v>
      </c>
      <c r="V160" s="1">
        <v>100</v>
      </c>
      <c r="W160">
        <v>120</v>
      </c>
      <c r="X160">
        <v>25</v>
      </c>
      <c r="Y160" s="1" t="s">
        <v>2</v>
      </c>
      <c r="Z160" s="1">
        <v>500.13</v>
      </c>
      <c r="AA160" s="1">
        <v>1.875</v>
      </c>
      <c r="AB160" s="1">
        <v>8</v>
      </c>
      <c r="AC160" s="1" t="s">
        <v>60</v>
      </c>
      <c r="AD160" s="1">
        <v>7.2910000000000004</v>
      </c>
      <c r="AE160" s="1"/>
    </row>
    <row r="161" spans="1:31">
      <c r="A161" s="1">
        <v>156</v>
      </c>
      <c r="B161" s="2" t="s">
        <v>114</v>
      </c>
      <c r="C161">
        <v>700</v>
      </c>
      <c r="D161">
        <v>2</v>
      </c>
      <c r="E161" s="1" t="s">
        <v>36</v>
      </c>
      <c r="F161">
        <v>34.799999999999997</v>
      </c>
      <c r="G161">
        <v>5.1999999999999998E-2</v>
      </c>
      <c r="H161">
        <v>1.48</v>
      </c>
      <c r="I161">
        <v>55.3</v>
      </c>
      <c r="J161">
        <v>9.48</v>
      </c>
      <c r="K161">
        <v>11.2</v>
      </c>
      <c r="L161">
        <v>6.1</v>
      </c>
      <c r="M161" s="1">
        <f t="shared" si="10"/>
        <v>0.12857142857142859</v>
      </c>
      <c r="N161" s="1">
        <f t="shared" si="11"/>
        <v>0.17359855334538876</v>
      </c>
      <c r="O161" s="1">
        <f t="shared" si="12"/>
        <v>0.30216998191681738</v>
      </c>
      <c r="P161" s="1">
        <f t="shared" si="13"/>
        <v>1.3236889692585894</v>
      </c>
      <c r="Q161">
        <f>100-I161-J161-K161-L161</f>
        <v>17.920000000000002</v>
      </c>
      <c r="R161">
        <v>0.5</v>
      </c>
      <c r="S161">
        <v>40</v>
      </c>
      <c r="T161">
        <v>200</v>
      </c>
      <c r="U161">
        <v>6.4</v>
      </c>
      <c r="V161" s="1">
        <v>400</v>
      </c>
      <c r="W161">
        <v>180</v>
      </c>
      <c r="X161">
        <v>25</v>
      </c>
      <c r="Y161" s="1" t="s">
        <v>37</v>
      </c>
      <c r="Z161" s="1">
        <v>214</v>
      </c>
      <c r="AA161" s="1">
        <v>1.75</v>
      </c>
      <c r="AB161" s="1">
        <v>4</v>
      </c>
      <c r="AC161" s="1" t="s">
        <v>59</v>
      </c>
      <c r="AD161" s="1">
        <v>829</v>
      </c>
      <c r="AE161" s="1"/>
    </row>
    <row r="162" spans="1:31">
      <c r="A162" s="1">
        <v>157</v>
      </c>
      <c r="B162" s="2" t="s">
        <v>114</v>
      </c>
      <c r="C162">
        <v>700</v>
      </c>
      <c r="D162">
        <v>2</v>
      </c>
      <c r="E162" s="1" t="s">
        <v>36</v>
      </c>
      <c r="F162">
        <v>34.799999999999997</v>
      </c>
      <c r="G162">
        <v>5.1999999999999998E-2</v>
      </c>
      <c r="H162">
        <v>1.48</v>
      </c>
      <c r="I162">
        <v>55.3</v>
      </c>
      <c r="J162">
        <v>9.48</v>
      </c>
      <c r="K162">
        <v>11.2</v>
      </c>
      <c r="L162">
        <v>6.1</v>
      </c>
      <c r="M162" s="1">
        <f t="shared" si="10"/>
        <v>0.12857142857142859</v>
      </c>
      <c r="N162" s="1">
        <f t="shared" si="11"/>
        <v>0.17359855334538876</v>
      </c>
      <c r="O162" s="1">
        <f t="shared" si="12"/>
        <v>0.30216998191681738</v>
      </c>
      <c r="P162" s="1">
        <f t="shared" si="13"/>
        <v>1.3236889692585894</v>
      </c>
      <c r="Q162">
        <f t="shared" si="9"/>
        <v>17.920000000000002</v>
      </c>
      <c r="R162">
        <v>0.5</v>
      </c>
      <c r="S162">
        <v>40</v>
      </c>
      <c r="T162">
        <v>200</v>
      </c>
      <c r="U162">
        <v>6.4</v>
      </c>
      <c r="V162" s="1">
        <v>400</v>
      </c>
      <c r="W162">
        <v>180</v>
      </c>
      <c r="X162">
        <v>25</v>
      </c>
      <c r="Y162" s="1" t="s">
        <v>38</v>
      </c>
      <c r="Z162" s="1">
        <v>300.10000000000002</v>
      </c>
      <c r="AA162" s="1">
        <v>1.75</v>
      </c>
      <c r="AB162" s="1">
        <v>4</v>
      </c>
      <c r="AC162" s="1" t="s">
        <v>60</v>
      </c>
      <c r="AD162" s="1">
        <v>456</v>
      </c>
      <c r="AE162" s="1"/>
    </row>
    <row r="163" spans="1:31">
      <c r="A163" s="1">
        <v>158</v>
      </c>
      <c r="B163" s="2" t="s">
        <v>114</v>
      </c>
      <c r="C163">
        <v>700</v>
      </c>
      <c r="D163">
        <v>2</v>
      </c>
      <c r="E163" s="1" t="s">
        <v>36</v>
      </c>
      <c r="F163">
        <v>34.799999999999997</v>
      </c>
      <c r="G163">
        <v>5.1999999999999998E-2</v>
      </c>
      <c r="H163">
        <v>1.48</v>
      </c>
      <c r="I163">
        <v>55.3</v>
      </c>
      <c r="J163">
        <v>9.48</v>
      </c>
      <c r="K163">
        <v>11.2</v>
      </c>
      <c r="L163">
        <v>6.1</v>
      </c>
      <c r="M163" s="1">
        <f t="shared" si="10"/>
        <v>0.12857142857142859</v>
      </c>
      <c r="N163" s="1">
        <f t="shared" si="11"/>
        <v>0.17359855334538876</v>
      </c>
      <c r="O163" s="1">
        <f t="shared" si="12"/>
        <v>0.30216998191681738</v>
      </c>
      <c r="P163" s="1">
        <f t="shared" si="13"/>
        <v>1.3236889692585894</v>
      </c>
      <c r="Q163">
        <f t="shared" si="9"/>
        <v>17.920000000000002</v>
      </c>
      <c r="R163">
        <v>0.5</v>
      </c>
      <c r="S163">
        <v>40</v>
      </c>
      <c r="T163">
        <v>200</v>
      </c>
      <c r="U163">
        <v>6.4</v>
      </c>
      <c r="V163" s="1">
        <v>400</v>
      </c>
      <c r="W163">
        <v>180</v>
      </c>
      <c r="X163">
        <v>25</v>
      </c>
      <c r="Y163" s="1" t="s">
        <v>39</v>
      </c>
      <c r="Z163" s="1">
        <v>414.08</v>
      </c>
      <c r="AA163" s="1">
        <v>1.875</v>
      </c>
      <c r="AB163" s="1">
        <v>8</v>
      </c>
      <c r="AC163" s="1" t="s">
        <v>59</v>
      </c>
      <c r="AD163" s="1">
        <v>1050</v>
      </c>
      <c r="AE163" s="1"/>
    </row>
    <row r="164" spans="1:31">
      <c r="A164" s="1">
        <v>159</v>
      </c>
      <c r="B164" s="2" t="s">
        <v>114</v>
      </c>
      <c r="C164">
        <v>700</v>
      </c>
      <c r="D164">
        <v>2</v>
      </c>
      <c r="E164" s="1" t="s">
        <v>36</v>
      </c>
      <c r="F164">
        <v>34.799999999999997</v>
      </c>
      <c r="G164">
        <v>5.1999999999999998E-2</v>
      </c>
      <c r="H164">
        <v>1.48</v>
      </c>
      <c r="I164">
        <v>55.3</v>
      </c>
      <c r="J164">
        <v>9.48</v>
      </c>
      <c r="K164">
        <v>11.2</v>
      </c>
      <c r="L164">
        <v>6.1</v>
      </c>
      <c r="M164" s="1">
        <f t="shared" si="10"/>
        <v>0.12857142857142859</v>
      </c>
      <c r="N164" s="1">
        <f t="shared" si="11"/>
        <v>0.17359855334538876</v>
      </c>
      <c r="O164" s="1">
        <f t="shared" si="12"/>
        <v>0.30216998191681738</v>
      </c>
      <c r="P164" s="1">
        <f t="shared" si="13"/>
        <v>1.3236889692585894</v>
      </c>
      <c r="Q164">
        <f t="shared" si="9"/>
        <v>17.920000000000002</v>
      </c>
      <c r="R164">
        <v>0.5</v>
      </c>
      <c r="S164">
        <v>40</v>
      </c>
      <c r="T164">
        <v>200</v>
      </c>
      <c r="U164">
        <v>6.4</v>
      </c>
      <c r="V164" s="1">
        <v>400</v>
      </c>
      <c r="W164">
        <v>180</v>
      </c>
      <c r="X164">
        <v>25</v>
      </c>
      <c r="Y164" s="1" t="s">
        <v>2</v>
      </c>
      <c r="Z164" s="1">
        <v>500.13</v>
      </c>
      <c r="AA164" s="1">
        <v>1.875</v>
      </c>
      <c r="AB164" s="1">
        <v>8</v>
      </c>
      <c r="AC164" s="1" t="s">
        <v>60</v>
      </c>
      <c r="AD164" s="1">
        <v>608</v>
      </c>
      <c r="AE164" s="1"/>
    </row>
    <row r="165" spans="1:31">
      <c r="A165" s="1">
        <v>160</v>
      </c>
      <c r="B165" s="2" t="s">
        <v>115</v>
      </c>
      <c r="C165">
        <v>750</v>
      </c>
      <c r="D165">
        <v>1.5</v>
      </c>
      <c r="E165" s="1" t="s">
        <v>3</v>
      </c>
      <c r="F165">
        <v>1618.24</v>
      </c>
      <c r="G165">
        <v>0.74</v>
      </c>
      <c r="H165">
        <v>1.76</v>
      </c>
      <c r="I165">
        <v>91.94</v>
      </c>
      <c r="J165">
        <v>8.06</v>
      </c>
      <c r="K165">
        <v>0</v>
      </c>
      <c r="L165">
        <v>0</v>
      </c>
      <c r="M165" s="1">
        <f t="shared" si="10"/>
        <v>6.5749401783772032E-2</v>
      </c>
      <c r="N165" s="1">
        <f t="shared" si="11"/>
        <v>0</v>
      </c>
      <c r="O165" s="1">
        <f t="shared" si="12"/>
        <v>6.5749401783772032E-2</v>
      </c>
      <c r="P165" s="1">
        <f t="shared" si="13"/>
        <v>0</v>
      </c>
      <c r="Q165">
        <v>0</v>
      </c>
      <c r="R165">
        <v>0</v>
      </c>
      <c r="S165">
        <v>2</v>
      </c>
      <c r="T165">
        <v>50</v>
      </c>
      <c r="U165">
        <v>4.25</v>
      </c>
      <c r="V165" s="1">
        <v>100</v>
      </c>
      <c r="W165">
        <v>160</v>
      </c>
      <c r="X165">
        <v>25</v>
      </c>
      <c r="Y165" s="1" t="s">
        <v>40</v>
      </c>
      <c r="Z165" s="1">
        <v>414.08</v>
      </c>
      <c r="AA165" s="1">
        <v>1.875</v>
      </c>
      <c r="AB165" s="1">
        <v>8</v>
      </c>
      <c r="AC165" s="1" t="s">
        <v>59</v>
      </c>
      <c r="AD165" s="1">
        <v>357.35</v>
      </c>
      <c r="AE165" s="1"/>
    </row>
    <row r="166" spans="1:31">
      <c r="A166" s="1">
        <v>161</v>
      </c>
      <c r="B166" s="2" t="s">
        <v>115</v>
      </c>
      <c r="C166">
        <v>750</v>
      </c>
      <c r="D166">
        <v>1.5</v>
      </c>
      <c r="E166" s="1" t="s">
        <v>3</v>
      </c>
      <c r="F166">
        <v>1956.72</v>
      </c>
      <c r="G166">
        <v>1.04</v>
      </c>
      <c r="H166">
        <v>2.0699999999999998</v>
      </c>
      <c r="I166">
        <v>89.07</v>
      </c>
      <c r="J166">
        <v>10.93</v>
      </c>
      <c r="K166">
        <v>0</v>
      </c>
      <c r="L166">
        <v>0</v>
      </c>
      <c r="M166" s="1">
        <f t="shared" si="10"/>
        <v>9.2034355001684068E-2</v>
      </c>
      <c r="N166" s="1">
        <f t="shared" si="11"/>
        <v>0</v>
      </c>
      <c r="O166" s="1">
        <f t="shared" si="12"/>
        <v>9.2034355001684068E-2</v>
      </c>
      <c r="P166" s="1">
        <f t="shared" si="13"/>
        <v>0</v>
      </c>
      <c r="Q166">
        <v>0</v>
      </c>
      <c r="R166">
        <v>0</v>
      </c>
      <c r="S166">
        <v>2</v>
      </c>
      <c r="T166">
        <v>50</v>
      </c>
      <c r="U166">
        <v>4.25</v>
      </c>
      <c r="V166" s="1">
        <v>100</v>
      </c>
      <c r="W166">
        <v>160</v>
      </c>
      <c r="X166">
        <v>25</v>
      </c>
      <c r="Y166" s="1" t="s">
        <v>40</v>
      </c>
      <c r="Z166" s="1">
        <v>414.08</v>
      </c>
      <c r="AA166" s="1">
        <v>1.875</v>
      </c>
      <c r="AB166" s="1">
        <v>8</v>
      </c>
      <c r="AC166" s="1" t="s">
        <v>59</v>
      </c>
      <c r="AD166" s="1">
        <v>420.77</v>
      </c>
      <c r="AE166" s="1"/>
    </row>
    <row r="167" spans="1:31">
      <c r="A167" s="1">
        <v>162</v>
      </c>
      <c r="B167" s="2" t="s">
        <v>115</v>
      </c>
      <c r="C167">
        <v>750</v>
      </c>
      <c r="D167">
        <v>1.5</v>
      </c>
      <c r="E167" s="1" t="s">
        <v>3</v>
      </c>
      <c r="F167">
        <v>1643.37</v>
      </c>
      <c r="G167">
        <v>0.76</v>
      </c>
      <c r="H167">
        <v>1.82</v>
      </c>
      <c r="I167">
        <v>91.28</v>
      </c>
      <c r="J167">
        <v>8.7200000000000006</v>
      </c>
      <c r="K167">
        <v>0</v>
      </c>
      <c r="L167">
        <v>0</v>
      </c>
      <c r="M167" s="1">
        <f t="shared" si="10"/>
        <v>7.1647677475898341E-2</v>
      </c>
      <c r="N167" s="1">
        <f t="shared" si="11"/>
        <v>0</v>
      </c>
      <c r="O167" s="1">
        <f t="shared" si="12"/>
        <v>7.1647677475898341E-2</v>
      </c>
      <c r="P167" s="1">
        <f t="shared" si="13"/>
        <v>0</v>
      </c>
      <c r="Q167">
        <v>0</v>
      </c>
      <c r="R167">
        <v>0</v>
      </c>
      <c r="S167">
        <v>2</v>
      </c>
      <c r="T167">
        <v>50</v>
      </c>
      <c r="U167">
        <v>4.25</v>
      </c>
      <c r="V167" s="1">
        <v>100</v>
      </c>
      <c r="W167">
        <v>160</v>
      </c>
      <c r="X167">
        <v>25</v>
      </c>
      <c r="Y167" s="1" t="s">
        <v>40</v>
      </c>
      <c r="Z167" s="1">
        <v>414.08</v>
      </c>
      <c r="AA167" s="1">
        <v>1.875</v>
      </c>
      <c r="AB167" s="1">
        <v>8</v>
      </c>
      <c r="AC167" s="1" t="s">
        <v>59</v>
      </c>
      <c r="AD167" s="1">
        <v>321.69</v>
      </c>
      <c r="AE167" s="1"/>
    </row>
    <row r="168" spans="1:31">
      <c r="A168" s="1">
        <v>163</v>
      </c>
      <c r="B168" s="2" t="s">
        <v>116</v>
      </c>
      <c r="C168">
        <v>900</v>
      </c>
      <c r="D168">
        <v>2</v>
      </c>
      <c r="E168" s="1" t="s">
        <v>41</v>
      </c>
      <c r="F168">
        <v>79.5</v>
      </c>
      <c r="G168">
        <v>0.1</v>
      </c>
      <c r="H168">
        <v>4.91</v>
      </c>
      <c r="I168">
        <v>38.700000000000003</v>
      </c>
      <c r="J168">
        <f t="shared" ref="J168:J188" si="14">100-I168-K168-L168-Q168</f>
        <v>13.170000000000002</v>
      </c>
      <c r="K168">
        <v>0.8</v>
      </c>
      <c r="L168">
        <v>0.93</v>
      </c>
      <c r="M168" s="1">
        <f t="shared" si="10"/>
        <v>0.25523255813953494</v>
      </c>
      <c r="N168" s="1">
        <f t="shared" si="11"/>
        <v>1.7718715393134001E-2</v>
      </c>
      <c r="O168" s="1">
        <f t="shared" si="12"/>
        <v>0.2729512735326689</v>
      </c>
      <c r="P168" s="1">
        <f t="shared" si="13"/>
        <v>0.28837209302325584</v>
      </c>
      <c r="Q168">
        <v>46.4</v>
      </c>
      <c r="R168">
        <v>4.3099999999999996</v>
      </c>
      <c r="S168">
        <v>48</v>
      </c>
      <c r="T168">
        <v>100</v>
      </c>
      <c r="U168">
        <v>6.5</v>
      </c>
      <c r="V168" s="1">
        <v>1250</v>
      </c>
      <c r="W168">
        <v>200</v>
      </c>
      <c r="X168">
        <v>25</v>
      </c>
      <c r="Y168" s="1" t="s">
        <v>42</v>
      </c>
      <c r="Z168" s="1">
        <v>414.08</v>
      </c>
      <c r="AA168" s="1">
        <v>1.875</v>
      </c>
      <c r="AB168" s="1">
        <v>8</v>
      </c>
      <c r="AC168" s="1" t="s">
        <v>59</v>
      </c>
      <c r="AD168" s="1">
        <v>38.6</v>
      </c>
      <c r="AE168" s="1"/>
    </row>
    <row r="169" spans="1:31">
      <c r="A169" s="1">
        <v>164</v>
      </c>
      <c r="B169" s="2" t="s">
        <v>116</v>
      </c>
      <c r="C169">
        <v>900</v>
      </c>
      <c r="D169">
        <v>2</v>
      </c>
      <c r="E169" s="1" t="s">
        <v>41</v>
      </c>
      <c r="F169">
        <v>79.5</v>
      </c>
      <c r="G169">
        <v>0.1</v>
      </c>
      <c r="H169">
        <v>4.91</v>
      </c>
      <c r="I169">
        <v>38.700000000000003</v>
      </c>
      <c r="J169">
        <f t="shared" si="14"/>
        <v>13.170000000000002</v>
      </c>
      <c r="K169">
        <v>0.8</v>
      </c>
      <c r="L169">
        <v>0.93</v>
      </c>
      <c r="M169" s="1">
        <f t="shared" si="10"/>
        <v>0.25523255813953494</v>
      </c>
      <c r="N169" s="1">
        <f t="shared" si="11"/>
        <v>1.7718715393134001E-2</v>
      </c>
      <c r="O169" s="1">
        <f t="shared" si="12"/>
        <v>0.2729512735326689</v>
      </c>
      <c r="P169" s="1">
        <f t="shared" si="13"/>
        <v>0.28837209302325584</v>
      </c>
      <c r="Q169">
        <v>46.4</v>
      </c>
      <c r="R169">
        <v>4.3099999999999996</v>
      </c>
      <c r="S169">
        <v>48</v>
      </c>
      <c r="T169">
        <v>100</v>
      </c>
      <c r="U169">
        <v>6.5</v>
      </c>
      <c r="V169" s="1">
        <v>1250</v>
      </c>
      <c r="W169">
        <v>200</v>
      </c>
      <c r="X169">
        <v>25</v>
      </c>
      <c r="Y169" s="1" t="s">
        <v>43</v>
      </c>
      <c r="Z169" s="1">
        <v>214</v>
      </c>
      <c r="AA169" s="1">
        <v>1.75</v>
      </c>
      <c r="AB169" s="1">
        <v>4</v>
      </c>
      <c r="AC169" s="1" t="s">
        <v>59</v>
      </c>
      <c r="AD169" s="1">
        <v>10.1</v>
      </c>
      <c r="AE169" s="1"/>
    </row>
    <row r="170" spans="1:31">
      <c r="A170" s="1">
        <v>165</v>
      </c>
      <c r="B170" s="2" t="s">
        <v>116</v>
      </c>
      <c r="C170">
        <v>700</v>
      </c>
      <c r="D170">
        <v>2</v>
      </c>
      <c r="E170" s="1" t="s">
        <v>3</v>
      </c>
      <c r="F170">
        <v>16.600000000000001</v>
      </c>
      <c r="G170">
        <v>0.06</v>
      </c>
      <c r="H170">
        <v>13.5</v>
      </c>
      <c r="I170">
        <v>34.200000000000003</v>
      </c>
      <c r="J170">
        <f t="shared" si="14"/>
        <v>19.449999999999989</v>
      </c>
      <c r="K170">
        <v>0.93</v>
      </c>
      <c r="L170">
        <v>0.62</v>
      </c>
      <c r="M170" s="1">
        <f t="shared" si="10"/>
        <v>0.42653508771929799</v>
      </c>
      <c r="N170" s="1">
        <f t="shared" si="11"/>
        <v>2.3308270676691729E-2</v>
      </c>
      <c r="O170" s="1">
        <f t="shared" si="12"/>
        <v>0.44984335839598971</v>
      </c>
      <c r="P170" s="1">
        <f t="shared" si="13"/>
        <v>0.21754385964912279</v>
      </c>
      <c r="Q170">
        <v>44.8</v>
      </c>
      <c r="R170">
        <v>4.87</v>
      </c>
      <c r="S170">
        <v>48</v>
      </c>
      <c r="T170">
        <v>100</v>
      </c>
      <c r="U170">
        <v>6.5</v>
      </c>
      <c r="V170" s="1">
        <v>1250</v>
      </c>
      <c r="W170">
        <v>200</v>
      </c>
      <c r="X170">
        <v>25</v>
      </c>
      <c r="Y170" s="1" t="s">
        <v>1</v>
      </c>
      <c r="Z170" s="1">
        <v>414.08</v>
      </c>
      <c r="AA170" s="1">
        <v>1.875</v>
      </c>
      <c r="AB170" s="1">
        <v>8</v>
      </c>
      <c r="AC170" s="1" t="s">
        <v>59</v>
      </c>
      <c r="AD170" s="1">
        <v>7.29</v>
      </c>
      <c r="AE170" s="1"/>
    </row>
    <row r="171" spans="1:31">
      <c r="A171" s="1">
        <v>166</v>
      </c>
      <c r="B171" s="2" t="s">
        <v>116</v>
      </c>
      <c r="C171">
        <v>700</v>
      </c>
      <c r="D171">
        <v>2</v>
      </c>
      <c r="E171" s="1" t="s">
        <v>3</v>
      </c>
      <c r="F171">
        <v>16.600000000000001</v>
      </c>
      <c r="G171">
        <v>0.06</v>
      </c>
      <c r="H171">
        <v>13.5</v>
      </c>
      <c r="I171">
        <v>34.200000000000003</v>
      </c>
      <c r="J171">
        <f t="shared" si="14"/>
        <v>19.449999999999989</v>
      </c>
      <c r="K171">
        <v>0.93</v>
      </c>
      <c r="L171">
        <v>0.62</v>
      </c>
      <c r="M171" s="1">
        <f t="shared" si="10"/>
        <v>0.42653508771929799</v>
      </c>
      <c r="N171" s="1">
        <f t="shared" si="11"/>
        <v>2.3308270676691729E-2</v>
      </c>
      <c r="O171" s="1">
        <f t="shared" si="12"/>
        <v>0.44984335839598971</v>
      </c>
      <c r="P171" s="1">
        <f t="shared" si="13"/>
        <v>0.21754385964912279</v>
      </c>
      <c r="Q171">
        <v>44.8</v>
      </c>
      <c r="R171">
        <v>4.87</v>
      </c>
      <c r="S171">
        <v>48</v>
      </c>
      <c r="T171">
        <v>100</v>
      </c>
      <c r="U171">
        <v>6.5</v>
      </c>
      <c r="V171" s="1">
        <v>1250</v>
      </c>
      <c r="W171">
        <v>200</v>
      </c>
      <c r="X171">
        <v>25</v>
      </c>
      <c r="Y171" s="1" t="s">
        <v>20</v>
      </c>
      <c r="Z171" s="1">
        <v>214</v>
      </c>
      <c r="AA171" s="1">
        <v>1.75</v>
      </c>
      <c r="AB171" s="1">
        <v>4</v>
      </c>
      <c r="AC171" s="1" t="s">
        <v>59</v>
      </c>
      <c r="AD171" s="1">
        <v>1.62</v>
      </c>
      <c r="AE171" s="1"/>
    </row>
    <row r="172" spans="1:31">
      <c r="A172" s="1">
        <v>167</v>
      </c>
      <c r="B172" s="2" t="s">
        <v>116</v>
      </c>
      <c r="C172">
        <v>500</v>
      </c>
      <c r="D172">
        <v>2</v>
      </c>
      <c r="E172" s="1" t="s">
        <v>3</v>
      </c>
      <c r="F172">
        <v>10.199999999999999</v>
      </c>
      <c r="G172">
        <v>0.03</v>
      </c>
      <c r="H172">
        <v>10.8</v>
      </c>
      <c r="I172">
        <v>35.5</v>
      </c>
      <c r="J172">
        <f t="shared" si="14"/>
        <v>20.689999999999998</v>
      </c>
      <c r="K172">
        <v>1.1100000000000001</v>
      </c>
      <c r="L172">
        <v>1.2</v>
      </c>
      <c r="M172" s="1">
        <f t="shared" si="10"/>
        <v>0.43711267605633797</v>
      </c>
      <c r="N172" s="1">
        <f t="shared" si="11"/>
        <v>2.6800804828973845E-2</v>
      </c>
      <c r="O172" s="1">
        <f t="shared" si="12"/>
        <v>0.46391348088531176</v>
      </c>
      <c r="P172" s="1">
        <f t="shared" si="13"/>
        <v>0.40563380281690137</v>
      </c>
      <c r="Q172">
        <v>41.5</v>
      </c>
      <c r="R172">
        <v>4.79</v>
      </c>
      <c r="S172">
        <v>48</v>
      </c>
      <c r="T172">
        <v>100</v>
      </c>
      <c r="U172">
        <v>6.5</v>
      </c>
      <c r="V172" s="1">
        <v>1250</v>
      </c>
      <c r="W172">
        <v>200</v>
      </c>
      <c r="X172">
        <v>25</v>
      </c>
      <c r="Y172" s="1" t="s">
        <v>1</v>
      </c>
      <c r="Z172" s="1">
        <v>414.08</v>
      </c>
      <c r="AA172" s="1">
        <v>1.875</v>
      </c>
      <c r="AB172" s="1">
        <v>8</v>
      </c>
      <c r="AC172" s="1" t="s">
        <v>59</v>
      </c>
      <c r="AD172" s="1">
        <v>4.26</v>
      </c>
      <c r="AE172" s="1"/>
    </row>
    <row r="173" spans="1:31">
      <c r="A173" s="1">
        <v>168</v>
      </c>
      <c r="B173" s="2" t="s">
        <v>116</v>
      </c>
      <c r="C173">
        <v>500</v>
      </c>
      <c r="D173">
        <v>2</v>
      </c>
      <c r="E173" s="1" t="s">
        <v>3</v>
      </c>
      <c r="F173">
        <v>10.199999999999999</v>
      </c>
      <c r="G173">
        <v>0.03</v>
      </c>
      <c r="H173">
        <v>10.8</v>
      </c>
      <c r="I173">
        <v>35.5</v>
      </c>
      <c r="J173">
        <f t="shared" si="14"/>
        <v>20.689999999999998</v>
      </c>
      <c r="K173">
        <v>1.1100000000000001</v>
      </c>
      <c r="L173">
        <v>1.2</v>
      </c>
      <c r="M173" s="1">
        <f t="shared" si="10"/>
        <v>0.43711267605633797</v>
      </c>
      <c r="N173" s="1">
        <f t="shared" si="11"/>
        <v>2.6800804828973845E-2</v>
      </c>
      <c r="O173" s="1">
        <f t="shared" si="12"/>
        <v>0.46391348088531176</v>
      </c>
      <c r="P173" s="1">
        <f t="shared" si="13"/>
        <v>0.40563380281690137</v>
      </c>
      <c r="Q173">
        <v>41.5</v>
      </c>
      <c r="R173">
        <v>4.79</v>
      </c>
      <c r="S173">
        <v>48</v>
      </c>
      <c r="T173">
        <v>100</v>
      </c>
      <c r="U173">
        <v>6.5</v>
      </c>
      <c r="V173" s="1">
        <v>1250</v>
      </c>
      <c r="W173">
        <v>200</v>
      </c>
      <c r="X173">
        <v>25</v>
      </c>
      <c r="Y173" s="1" t="s">
        <v>20</v>
      </c>
      <c r="Z173" s="1">
        <v>214</v>
      </c>
      <c r="AA173" s="1">
        <v>1.75</v>
      </c>
      <c r="AB173" s="1">
        <v>4</v>
      </c>
      <c r="AC173" s="1" t="s">
        <v>59</v>
      </c>
      <c r="AD173" s="1">
        <v>1.52</v>
      </c>
      <c r="AE173" s="1"/>
    </row>
    <row r="174" spans="1:31">
      <c r="A174" s="1">
        <v>169</v>
      </c>
      <c r="B174" s="2" t="s">
        <v>116</v>
      </c>
      <c r="C174">
        <v>900</v>
      </c>
      <c r="D174">
        <v>2</v>
      </c>
      <c r="E174" s="1" t="s">
        <v>3</v>
      </c>
      <c r="F174">
        <v>14.3</v>
      </c>
      <c r="G174">
        <v>0.04</v>
      </c>
      <c r="H174">
        <v>10.9</v>
      </c>
      <c r="I174">
        <v>39.6</v>
      </c>
      <c r="J174">
        <f t="shared" si="14"/>
        <v>17.219999999999992</v>
      </c>
      <c r="K174">
        <v>0.77</v>
      </c>
      <c r="L174">
        <v>0.81</v>
      </c>
      <c r="M174" s="1">
        <f t="shared" si="10"/>
        <v>0.32613636363636345</v>
      </c>
      <c r="N174" s="1">
        <f t="shared" si="11"/>
        <v>1.6666666666666666E-2</v>
      </c>
      <c r="O174" s="1">
        <f t="shared" si="12"/>
        <v>0.34280303030303011</v>
      </c>
      <c r="P174" s="1">
        <f t="shared" si="13"/>
        <v>0.24545454545454545</v>
      </c>
      <c r="Q174">
        <v>41.6</v>
      </c>
      <c r="R174">
        <v>4.53</v>
      </c>
      <c r="S174">
        <v>48</v>
      </c>
      <c r="T174">
        <v>100</v>
      </c>
      <c r="U174">
        <v>6.5</v>
      </c>
      <c r="V174" s="1">
        <v>1250</v>
      </c>
      <c r="W174">
        <v>200</v>
      </c>
      <c r="X174">
        <v>25</v>
      </c>
      <c r="Y174" s="1" t="s">
        <v>1</v>
      </c>
      <c r="Z174" s="1">
        <v>414.08</v>
      </c>
      <c r="AA174" s="1">
        <v>1.875</v>
      </c>
      <c r="AB174" s="1">
        <v>8</v>
      </c>
      <c r="AC174" s="1" t="s">
        <v>59</v>
      </c>
      <c r="AD174" s="1">
        <v>5.66</v>
      </c>
      <c r="AE174" s="1"/>
    </row>
    <row r="175" spans="1:31">
      <c r="A175" s="1">
        <v>170</v>
      </c>
      <c r="B175" s="2" t="s">
        <v>116</v>
      </c>
      <c r="C175">
        <v>900</v>
      </c>
      <c r="D175">
        <v>2</v>
      </c>
      <c r="E175" s="1" t="s">
        <v>3</v>
      </c>
      <c r="F175">
        <v>14.3</v>
      </c>
      <c r="G175">
        <v>0.04</v>
      </c>
      <c r="H175">
        <v>10.9</v>
      </c>
      <c r="I175">
        <v>39.6</v>
      </c>
      <c r="J175">
        <f t="shared" si="14"/>
        <v>17.219999999999992</v>
      </c>
      <c r="K175">
        <v>0.77</v>
      </c>
      <c r="L175">
        <v>0.81</v>
      </c>
      <c r="M175" s="1">
        <f t="shared" si="10"/>
        <v>0.32613636363636345</v>
      </c>
      <c r="N175" s="1">
        <f t="shared" si="11"/>
        <v>1.6666666666666666E-2</v>
      </c>
      <c r="O175" s="1">
        <f t="shared" si="12"/>
        <v>0.34280303030303011</v>
      </c>
      <c r="P175" s="1">
        <f t="shared" si="13"/>
        <v>0.24545454545454545</v>
      </c>
      <c r="Q175">
        <v>41.6</v>
      </c>
      <c r="R175">
        <v>4.53</v>
      </c>
      <c r="S175">
        <v>48</v>
      </c>
      <c r="T175">
        <v>100</v>
      </c>
      <c r="U175">
        <v>6.5</v>
      </c>
      <c r="V175" s="1">
        <v>1250</v>
      </c>
      <c r="W175">
        <v>200</v>
      </c>
      <c r="X175">
        <v>25</v>
      </c>
      <c r="Y175" s="1" t="s">
        <v>20</v>
      </c>
      <c r="Z175" s="1">
        <v>214</v>
      </c>
      <c r="AA175" s="1">
        <v>1.75</v>
      </c>
      <c r="AB175" s="1">
        <v>4</v>
      </c>
      <c r="AC175" s="1" t="s">
        <v>59</v>
      </c>
      <c r="AD175" s="1">
        <v>1.23</v>
      </c>
      <c r="AE175" s="1"/>
    </row>
    <row r="176" spans="1:31">
      <c r="A176" s="1">
        <v>171</v>
      </c>
      <c r="B176" s="2" t="s">
        <v>116</v>
      </c>
      <c r="C176">
        <v>700</v>
      </c>
      <c r="D176">
        <v>2</v>
      </c>
      <c r="E176" s="1" t="s">
        <v>3</v>
      </c>
      <c r="F176">
        <v>15.3</v>
      </c>
      <c r="G176">
        <v>0.04</v>
      </c>
      <c r="H176">
        <v>10.4</v>
      </c>
      <c r="I176">
        <v>38.5</v>
      </c>
      <c r="J176">
        <f t="shared" si="14"/>
        <v>18.189999999999998</v>
      </c>
      <c r="K176">
        <v>1.1000000000000001</v>
      </c>
      <c r="L176">
        <v>0.71</v>
      </c>
      <c r="M176" s="1">
        <f t="shared" si="10"/>
        <v>0.3543506493506493</v>
      </c>
      <c r="N176" s="1">
        <f t="shared" si="11"/>
        <v>2.4489795918367349E-2</v>
      </c>
      <c r="O176" s="1">
        <f t="shared" si="12"/>
        <v>0.37884044526901661</v>
      </c>
      <c r="P176" s="1">
        <f t="shared" si="13"/>
        <v>0.22129870129870127</v>
      </c>
      <c r="Q176">
        <v>41.5</v>
      </c>
      <c r="R176">
        <v>4.91</v>
      </c>
      <c r="S176">
        <v>48</v>
      </c>
      <c r="T176">
        <v>100</v>
      </c>
      <c r="U176">
        <v>6.5</v>
      </c>
      <c r="V176" s="1">
        <v>1250</v>
      </c>
      <c r="W176">
        <v>200</v>
      </c>
      <c r="X176">
        <v>25</v>
      </c>
      <c r="Y176" s="1" t="s">
        <v>1</v>
      </c>
      <c r="Z176" s="1">
        <v>414.08</v>
      </c>
      <c r="AA176" s="1">
        <v>1.875</v>
      </c>
      <c r="AB176" s="1">
        <v>8</v>
      </c>
      <c r="AC176" s="1" t="s">
        <v>59</v>
      </c>
      <c r="AD176" s="1">
        <v>4.3600000000000003</v>
      </c>
      <c r="AE176" s="1"/>
    </row>
    <row r="177" spans="1:31">
      <c r="A177" s="1">
        <v>172</v>
      </c>
      <c r="B177" s="2" t="s">
        <v>116</v>
      </c>
      <c r="C177">
        <v>700</v>
      </c>
      <c r="D177">
        <v>2</v>
      </c>
      <c r="E177" s="1" t="s">
        <v>3</v>
      </c>
      <c r="F177">
        <v>15.3</v>
      </c>
      <c r="G177">
        <v>0.04</v>
      </c>
      <c r="H177">
        <v>10.4</v>
      </c>
      <c r="I177">
        <v>38.5</v>
      </c>
      <c r="J177">
        <f t="shared" si="14"/>
        <v>18.189999999999998</v>
      </c>
      <c r="K177">
        <v>1.1000000000000001</v>
      </c>
      <c r="L177">
        <v>0.71</v>
      </c>
      <c r="M177" s="1">
        <f t="shared" si="10"/>
        <v>0.3543506493506493</v>
      </c>
      <c r="N177" s="1">
        <f t="shared" si="11"/>
        <v>2.4489795918367349E-2</v>
      </c>
      <c r="O177" s="1">
        <f t="shared" si="12"/>
        <v>0.37884044526901661</v>
      </c>
      <c r="P177" s="1">
        <f t="shared" si="13"/>
        <v>0.22129870129870127</v>
      </c>
      <c r="Q177">
        <v>41.5</v>
      </c>
      <c r="R177">
        <v>4.91</v>
      </c>
      <c r="S177">
        <v>48</v>
      </c>
      <c r="T177">
        <v>100</v>
      </c>
      <c r="U177">
        <v>6.5</v>
      </c>
      <c r="V177" s="1">
        <v>1250</v>
      </c>
      <c r="W177">
        <v>200</v>
      </c>
      <c r="X177">
        <v>25</v>
      </c>
      <c r="Y177" s="1" t="s">
        <v>20</v>
      </c>
      <c r="Z177" s="1">
        <v>214</v>
      </c>
      <c r="AA177" s="1">
        <v>1.75</v>
      </c>
      <c r="AB177" s="1">
        <v>4</v>
      </c>
      <c r="AC177" s="1" t="s">
        <v>59</v>
      </c>
      <c r="AD177" s="1">
        <v>1.1299999999999999</v>
      </c>
      <c r="AE177" s="1"/>
    </row>
    <row r="178" spans="1:31">
      <c r="A178" s="1">
        <v>173</v>
      </c>
      <c r="B178" s="2" t="s">
        <v>116</v>
      </c>
      <c r="C178">
        <v>500</v>
      </c>
      <c r="D178">
        <v>2</v>
      </c>
      <c r="E178" s="1" t="s">
        <v>3</v>
      </c>
      <c r="F178">
        <v>8.75</v>
      </c>
      <c r="G178">
        <v>0.02</v>
      </c>
      <c r="H178">
        <v>11.4</v>
      </c>
      <c r="I178">
        <v>36.700000000000003</v>
      </c>
      <c r="J178">
        <f t="shared" si="14"/>
        <v>24.36999999999999</v>
      </c>
      <c r="K178">
        <v>1.35</v>
      </c>
      <c r="L178">
        <v>1.38</v>
      </c>
      <c r="M178" s="1">
        <f t="shared" si="10"/>
        <v>0.49802452316076273</v>
      </c>
      <c r="N178" s="1">
        <f t="shared" si="11"/>
        <v>3.1529778123783575E-2</v>
      </c>
      <c r="O178" s="1">
        <f t="shared" si="12"/>
        <v>0.52955430128454628</v>
      </c>
      <c r="P178" s="1">
        <f t="shared" si="13"/>
        <v>0.45122615803814708</v>
      </c>
      <c r="Q178">
        <v>36.200000000000003</v>
      </c>
      <c r="R178">
        <v>4.82</v>
      </c>
      <c r="S178">
        <v>48</v>
      </c>
      <c r="T178">
        <v>100</v>
      </c>
      <c r="U178">
        <v>6.5</v>
      </c>
      <c r="V178" s="1">
        <v>1250</v>
      </c>
      <c r="W178">
        <v>200</v>
      </c>
      <c r="X178">
        <v>25</v>
      </c>
      <c r="Y178" s="1" t="s">
        <v>1</v>
      </c>
      <c r="Z178" s="1">
        <v>414.08</v>
      </c>
      <c r="AA178" s="1">
        <v>1.875</v>
      </c>
      <c r="AB178" s="1">
        <v>8</v>
      </c>
      <c r="AC178" s="1" t="s">
        <v>59</v>
      </c>
      <c r="AD178" s="1">
        <v>3.38</v>
      </c>
      <c r="AE178" s="1"/>
    </row>
    <row r="179" spans="1:31">
      <c r="A179" s="1">
        <v>174</v>
      </c>
      <c r="B179" s="2" t="s">
        <v>116</v>
      </c>
      <c r="C179">
        <v>500</v>
      </c>
      <c r="D179">
        <v>2</v>
      </c>
      <c r="E179" s="1" t="s">
        <v>3</v>
      </c>
      <c r="F179">
        <v>8.75</v>
      </c>
      <c r="G179">
        <v>0.02</v>
      </c>
      <c r="H179">
        <v>11.4</v>
      </c>
      <c r="I179">
        <v>36.700000000000003</v>
      </c>
      <c r="J179">
        <f t="shared" si="14"/>
        <v>24.36999999999999</v>
      </c>
      <c r="K179">
        <v>1.35</v>
      </c>
      <c r="L179">
        <v>1.38</v>
      </c>
      <c r="M179" s="1">
        <f t="shared" si="10"/>
        <v>0.49802452316076273</v>
      </c>
      <c r="N179" s="1">
        <f t="shared" si="11"/>
        <v>3.1529778123783575E-2</v>
      </c>
      <c r="O179" s="1">
        <f t="shared" si="12"/>
        <v>0.52955430128454628</v>
      </c>
      <c r="P179" s="1">
        <f t="shared" si="13"/>
        <v>0.45122615803814708</v>
      </c>
      <c r="Q179">
        <v>36.200000000000003</v>
      </c>
      <c r="R179">
        <v>4.82</v>
      </c>
      <c r="S179">
        <v>48</v>
      </c>
      <c r="T179">
        <v>100</v>
      </c>
      <c r="U179">
        <v>6.5</v>
      </c>
      <c r="V179" s="1">
        <v>1250</v>
      </c>
      <c r="W179">
        <v>200</v>
      </c>
      <c r="X179">
        <v>25</v>
      </c>
      <c r="Y179" s="1" t="s">
        <v>20</v>
      </c>
      <c r="Z179" s="1">
        <v>214</v>
      </c>
      <c r="AA179" s="1">
        <v>1.75</v>
      </c>
      <c r="AB179" s="1">
        <v>4</v>
      </c>
      <c r="AC179" s="1" t="s">
        <v>59</v>
      </c>
      <c r="AD179" s="1">
        <v>0.56999999999999995</v>
      </c>
      <c r="AE179" s="1"/>
    </row>
    <row r="180" spans="1:31">
      <c r="A180" s="1">
        <v>175</v>
      </c>
      <c r="B180" s="2" t="s">
        <v>116</v>
      </c>
      <c r="C180">
        <v>900</v>
      </c>
      <c r="D180">
        <v>2</v>
      </c>
      <c r="E180" s="1" t="s">
        <v>3</v>
      </c>
      <c r="F180">
        <v>158</v>
      </c>
      <c r="G180">
        <v>0.14000000000000001</v>
      </c>
      <c r="H180">
        <v>3.31</v>
      </c>
      <c r="I180">
        <v>41.5</v>
      </c>
      <c r="J180">
        <f t="shared" si="14"/>
        <v>8.89</v>
      </c>
      <c r="K180">
        <v>0.96</v>
      </c>
      <c r="L180">
        <v>0.75</v>
      </c>
      <c r="M180" s="1">
        <f t="shared" si="10"/>
        <v>0.16066265060240964</v>
      </c>
      <c r="N180" s="1">
        <f t="shared" si="11"/>
        <v>1.982788296041308E-2</v>
      </c>
      <c r="O180" s="1">
        <f t="shared" si="12"/>
        <v>0.18049053356282274</v>
      </c>
      <c r="P180" s="1">
        <f t="shared" si="13"/>
        <v>0.21686746987951808</v>
      </c>
      <c r="Q180">
        <v>47.9</v>
      </c>
      <c r="R180">
        <v>0.13</v>
      </c>
      <c r="S180">
        <v>48</v>
      </c>
      <c r="T180">
        <v>100</v>
      </c>
      <c r="U180">
        <v>6.5</v>
      </c>
      <c r="V180" s="1">
        <v>1250</v>
      </c>
      <c r="W180">
        <v>200</v>
      </c>
      <c r="X180">
        <v>25</v>
      </c>
      <c r="Y180" s="1" t="s">
        <v>1</v>
      </c>
      <c r="Z180" s="1">
        <v>414.08</v>
      </c>
      <c r="AA180" s="1">
        <v>1.875</v>
      </c>
      <c r="AB180" s="1">
        <v>8</v>
      </c>
      <c r="AC180" s="1" t="s">
        <v>59</v>
      </c>
      <c r="AD180" s="1">
        <v>5.68</v>
      </c>
      <c r="AE180" s="1"/>
    </row>
    <row r="181" spans="1:31">
      <c r="A181" s="1">
        <v>176</v>
      </c>
      <c r="B181" s="2" t="s">
        <v>116</v>
      </c>
      <c r="C181">
        <v>900</v>
      </c>
      <c r="D181">
        <v>2</v>
      </c>
      <c r="E181" s="1" t="s">
        <v>3</v>
      </c>
      <c r="F181">
        <v>158</v>
      </c>
      <c r="G181">
        <v>0.14000000000000001</v>
      </c>
      <c r="H181">
        <v>3.31</v>
      </c>
      <c r="I181">
        <v>41.5</v>
      </c>
      <c r="J181">
        <f t="shared" si="14"/>
        <v>8.89</v>
      </c>
      <c r="K181">
        <v>0.96</v>
      </c>
      <c r="L181">
        <v>0.75</v>
      </c>
      <c r="M181" s="1">
        <f t="shared" si="10"/>
        <v>0.16066265060240964</v>
      </c>
      <c r="N181" s="1">
        <f t="shared" si="11"/>
        <v>1.982788296041308E-2</v>
      </c>
      <c r="O181" s="1">
        <f t="shared" si="12"/>
        <v>0.18049053356282274</v>
      </c>
      <c r="P181" s="1">
        <f t="shared" si="13"/>
        <v>0.21686746987951808</v>
      </c>
      <c r="Q181">
        <v>47.9</v>
      </c>
      <c r="R181">
        <v>0.13</v>
      </c>
      <c r="S181">
        <v>48</v>
      </c>
      <c r="T181">
        <v>100</v>
      </c>
      <c r="U181">
        <v>6.5</v>
      </c>
      <c r="V181" s="1">
        <v>1250</v>
      </c>
      <c r="W181">
        <v>200</v>
      </c>
      <c r="X181">
        <v>25</v>
      </c>
      <c r="Y181" s="1" t="s">
        <v>20</v>
      </c>
      <c r="Z181" s="1">
        <v>214</v>
      </c>
      <c r="AA181" s="1">
        <v>1.75</v>
      </c>
      <c r="AB181" s="1">
        <v>4</v>
      </c>
      <c r="AC181" s="1" t="s">
        <v>59</v>
      </c>
      <c r="AD181" s="1">
        <v>0.5</v>
      </c>
      <c r="AE181" s="1"/>
    </row>
    <row r="182" spans="1:31">
      <c r="A182" s="1">
        <v>177</v>
      </c>
      <c r="B182" s="2" t="s">
        <v>116</v>
      </c>
      <c r="C182">
        <v>700</v>
      </c>
      <c r="D182">
        <v>2</v>
      </c>
      <c r="E182" s="1" t="s">
        <v>3</v>
      </c>
      <c r="F182">
        <v>201</v>
      </c>
      <c r="G182">
        <v>0.13</v>
      </c>
      <c r="H182">
        <v>2.68</v>
      </c>
      <c r="I182">
        <v>40.200000000000003</v>
      </c>
      <c r="J182">
        <f t="shared" si="14"/>
        <v>13.479999999999997</v>
      </c>
      <c r="K182">
        <v>1.1399999999999999</v>
      </c>
      <c r="L182">
        <v>0.78</v>
      </c>
      <c r="M182" s="1">
        <f t="shared" si="10"/>
        <v>0.2514925373134328</v>
      </c>
      <c r="N182" s="1">
        <f t="shared" si="11"/>
        <v>2.4307036247334751E-2</v>
      </c>
      <c r="O182" s="1">
        <f t="shared" si="12"/>
        <v>0.27579957356076751</v>
      </c>
      <c r="P182" s="1">
        <f t="shared" si="13"/>
        <v>0.23283582089552238</v>
      </c>
      <c r="Q182">
        <v>44.4</v>
      </c>
      <c r="R182">
        <v>0.15</v>
      </c>
      <c r="S182">
        <v>48</v>
      </c>
      <c r="T182">
        <v>100</v>
      </c>
      <c r="U182">
        <v>6.5</v>
      </c>
      <c r="V182" s="1">
        <v>1250</v>
      </c>
      <c r="W182">
        <v>200</v>
      </c>
      <c r="X182">
        <v>25</v>
      </c>
      <c r="Y182" s="1" t="s">
        <v>1</v>
      </c>
      <c r="Z182" s="1">
        <v>414.08</v>
      </c>
      <c r="AA182" s="1">
        <v>1.875</v>
      </c>
      <c r="AB182" s="1">
        <v>8</v>
      </c>
      <c r="AC182" s="1" t="s">
        <v>59</v>
      </c>
      <c r="AD182" s="1">
        <v>4.18</v>
      </c>
      <c r="AE182" s="1"/>
    </row>
    <row r="183" spans="1:31">
      <c r="A183" s="1">
        <v>178</v>
      </c>
      <c r="B183" s="2" t="s">
        <v>116</v>
      </c>
      <c r="C183">
        <v>700</v>
      </c>
      <c r="D183">
        <v>2</v>
      </c>
      <c r="E183" s="1" t="s">
        <v>3</v>
      </c>
      <c r="F183">
        <v>201</v>
      </c>
      <c r="G183">
        <v>0.13</v>
      </c>
      <c r="H183">
        <v>2.68</v>
      </c>
      <c r="I183">
        <v>40.200000000000003</v>
      </c>
      <c r="J183">
        <f t="shared" si="14"/>
        <v>13.479999999999997</v>
      </c>
      <c r="K183">
        <v>1.1399999999999999</v>
      </c>
      <c r="L183">
        <v>0.78</v>
      </c>
      <c r="M183" s="1">
        <f t="shared" si="10"/>
        <v>0.2514925373134328</v>
      </c>
      <c r="N183" s="1">
        <f t="shared" si="11"/>
        <v>2.4307036247334751E-2</v>
      </c>
      <c r="O183" s="1">
        <f t="shared" si="12"/>
        <v>0.27579957356076751</v>
      </c>
      <c r="P183" s="1">
        <f t="shared" si="13"/>
        <v>0.23283582089552238</v>
      </c>
      <c r="Q183">
        <v>44.4</v>
      </c>
      <c r="R183">
        <v>0.15</v>
      </c>
      <c r="S183">
        <v>48</v>
      </c>
      <c r="T183">
        <v>100</v>
      </c>
      <c r="U183">
        <v>6.5</v>
      </c>
      <c r="V183" s="1">
        <v>1250</v>
      </c>
      <c r="W183">
        <v>200</v>
      </c>
      <c r="X183">
        <v>25</v>
      </c>
      <c r="Y183" s="1" t="s">
        <v>20</v>
      </c>
      <c r="Z183" s="1">
        <v>214</v>
      </c>
      <c r="AA183" s="1">
        <v>1.75</v>
      </c>
      <c r="AB183" s="1">
        <v>4</v>
      </c>
      <c r="AC183" s="1" t="s">
        <v>59</v>
      </c>
      <c r="AD183" s="1">
        <v>0.45</v>
      </c>
      <c r="AE183" s="1"/>
    </row>
    <row r="184" spans="1:31">
      <c r="A184" s="1">
        <v>179</v>
      </c>
      <c r="B184" s="2" t="s">
        <v>116</v>
      </c>
      <c r="C184">
        <v>500</v>
      </c>
      <c r="D184">
        <v>2</v>
      </c>
      <c r="E184" s="1" t="s">
        <v>3</v>
      </c>
      <c r="F184">
        <v>25.5</v>
      </c>
      <c r="G184">
        <v>0.05</v>
      </c>
      <c r="H184">
        <v>7.2</v>
      </c>
      <c r="I184">
        <v>40.700000000000003</v>
      </c>
      <c r="J184">
        <f t="shared" si="14"/>
        <v>17.490000000000002</v>
      </c>
      <c r="K184">
        <v>1.87</v>
      </c>
      <c r="L184">
        <v>1.44</v>
      </c>
      <c r="M184" s="1">
        <f t="shared" si="10"/>
        <v>0.32229729729729728</v>
      </c>
      <c r="N184" s="1">
        <f t="shared" si="11"/>
        <v>3.9382239382239385E-2</v>
      </c>
      <c r="O184" s="1">
        <f t="shared" si="12"/>
        <v>0.36167953667953673</v>
      </c>
      <c r="P184" s="1">
        <f t="shared" si="13"/>
        <v>0.42457002457002452</v>
      </c>
      <c r="Q184">
        <v>38.5</v>
      </c>
      <c r="R184">
        <v>0.13</v>
      </c>
      <c r="S184">
        <v>48</v>
      </c>
      <c r="T184">
        <v>100</v>
      </c>
      <c r="U184">
        <v>6.5</v>
      </c>
      <c r="V184" s="1">
        <v>1250</v>
      </c>
      <c r="W184">
        <v>200</v>
      </c>
      <c r="X184">
        <v>25</v>
      </c>
      <c r="Y184" s="1" t="s">
        <v>1</v>
      </c>
      <c r="Z184" s="1">
        <v>414.08</v>
      </c>
      <c r="AA184" s="1">
        <v>1.875</v>
      </c>
      <c r="AB184" s="1">
        <v>8</v>
      </c>
      <c r="AC184" s="1" t="s">
        <v>59</v>
      </c>
      <c r="AD184" s="1">
        <v>2.13</v>
      </c>
      <c r="AE184" s="1"/>
    </row>
    <row r="185" spans="1:31">
      <c r="A185" s="1">
        <v>180</v>
      </c>
      <c r="B185" s="2" t="s">
        <v>116</v>
      </c>
      <c r="C185">
        <v>500</v>
      </c>
      <c r="D185">
        <v>2</v>
      </c>
      <c r="E185" s="1" t="s">
        <v>3</v>
      </c>
      <c r="F185">
        <v>25.5</v>
      </c>
      <c r="G185">
        <v>0.05</v>
      </c>
      <c r="H185">
        <v>7.2</v>
      </c>
      <c r="I185">
        <v>40.700000000000003</v>
      </c>
      <c r="J185">
        <f t="shared" si="14"/>
        <v>17.490000000000002</v>
      </c>
      <c r="K185">
        <v>1.87</v>
      </c>
      <c r="L185">
        <v>1.44</v>
      </c>
      <c r="M185" s="1">
        <f t="shared" si="10"/>
        <v>0.32229729729729728</v>
      </c>
      <c r="N185" s="1">
        <f t="shared" si="11"/>
        <v>3.9382239382239385E-2</v>
      </c>
      <c r="O185" s="1">
        <f t="shared" si="12"/>
        <v>0.36167953667953673</v>
      </c>
      <c r="P185" s="1">
        <f t="shared" si="13"/>
        <v>0.42457002457002452</v>
      </c>
      <c r="Q185">
        <v>38.5</v>
      </c>
      <c r="R185">
        <v>0.13</v>
      </c>
      <c r="S185">
        <v>48</v>
      </c>
      <c r="T185">
        <v>100</v>
      </c>
      <c r="U185">
        <v>6.5</v>
      </c>
      <c r="V185" s="1">
        <v>1250</v>
      </c>
      <c r="W185">
        <v>200</v>
      </c>
      <c r="X185">
        <v>25</v>
      </c>
      <c r="Y185" s="1" t="s">
        <v>20</v>
      </c>
      <c r="Z185" s="1">
        <v>214</v>
      </c>
      <c r="AA185" s="1">
        <v>1.75</v>
      </c>
      <c r="AB185" s="1">
        <v>4</v>
      </c>
      <c r="AC185" s="1" t="s">
        <v>59</v>
      </c>
      <c r="AD185" s="1">
        <v>0.41</v>
      </c>
      <c r="AE185" s="1"/>
    </row>
    <row r="186" spans="1:31">
      <c r="A186" s="1">
        <v>181</v>
      </c>
      <c r="B186" s="2" t="s">
        <v>116</v>
      </c>
      <c r="C186">
        <v>900</v>
      </c>
      <c r="D186">
        <v>2</v>
      </c>
      <c r="E186" s="1" t="s">
        <v>51</v>
      </c>
      <c r="F186">
        <v>64.099999999999994</v>
      </c>
      <c r="G186">
        <v>0.08</v>
      </c>
      <c r="H186">
        <v>4.3899999999999997</v>
      </c>
      <c r="I186">
        <v>44.1</v>
      </c>
      <c r="J186">
        <f t="shared" si="14"/>
        <v>15.510000000000005</v>
      </c>
      <c r="K186">
        <v>1.26</v>
      </c>
      <c r="L186">
        <v>0.83</v>
      </c>
      <c r="M186" s="1">
        <f t="shared" si="10"/>
        <v>0.26377551020408169</v>
      </c>
      <c r="N186" s="1">
        <f t="shared" si="11"/>
        <v>2.4489795918367346E-2</v>
      </c>
      <c r="O186" s="1">
        <f t="shared" si="12"/>
        <v>0.28826530612244905</v>
      </c>
      <c r="P186" s="1">
        <f t="shared" si="13"/>
        <v>0.2258503401360544</v>
      </c>
      <c r="Q186">
        <v>38.299999999999997</v>
      </c>
      <c r="R186">
        <v>0.14000000000000001</v>
      </c>
      <c r="S186">
        <v>48</v>
      </c>
      <c r="T186">
        <v>100</v>
      </c>
      <c r="U186">
        <v>6.5</v>
      </c>
      <c r="V186" s="1">
        <v>1250</v>
      </c>
      <c r="W186">
        <v>200</v>
      </c>
      <c r="X186">
        <v>25</v>
      </c>
      <c r="Y186" s="1" t="s">
        <v>1</v>
      </c>
      <c r="Z186" s="1">
        <v>414.08</v>
      </c>
      <c r="AA186" s="1">
        <v>1.875</v>
      </c>
      <c r="AB186" s="1">
        <v>8</v>
      </c>
      <c r="AC186" s="1" t="s">
        <v>59</v>
      </c>
      <c r="AD186" s="1">
        <v>2.9</v>
      </c>
      <c r="AE186" s="1"/>
    </row>
    <row r="187" spans="1:31">
      <c r="A187" s="1">
        <v>182</v>
      </c>
      <c r="B187" s="2" t="s">
        <v>116</v>
      </c>
      <c r="C187">
        <v>700</v>
      </c>
      <c r="D187">
        <v>2</v>
      </c>
      <c r="E187" s="1" t="s">
        <v>51</v>
      </c>
      <c r="F187">
        <v>171</v>
      </c>
      <c r="G187">
        <v>0.1</v>
      </c>
      <c r="H187">
        <v>2.2400000000000002</v>
      </c>
      <c r="I187">
        <v>44.3</v>
      </c>
      <c r="J187">
        <f t="shared" si="14"/>
        <v>18.600000000000001</v>
      </c>
      <c r="K187">
        <v>1.06</v>
      </c>
      <c r="L187">
        <v>0.94</v>
      </c>
      <c r="M187" s="1">
        <f t="shared" si="10"/>
        <v>0.31489841986455985</v>
      </c>
      <c r="N187" s="1">
        <f t="shared" si="11"/>
        <v>2.0509513060303131E-2</v>
      </c>
      <c r="O187" s="1">
        <f t="shared" si="12"/>
        <v>0.33540793292486298</v>
      </c>
      <c r="P187" s="1">
        <f t="shared" si="13"/>
        <v>0.25462753950338601</v>
      </c>
      <c r="Q187">
        <v>35.1</v>
      </c>
      <c r="R187">
        <v>0.19</v>
      </c>
      <c r="S187">
        <v>48</v>
      </c>
      <c r="T187">
        <v>100</v>
      </c>
      <c r="U187">
        <v>6.5</v>
      </c>
      <c r="V187" s="1">
        <v>1250</v>
      </c>
      <c r="W187">
        <v>200</v>
      </c>
      <c r="X187">
        <v>25</v>
      </c>
      <c r="Y187" s="1" t="s">
        <v>1</v>
      </c>
      <c r="Z187" s="1">
        <v>414.08</v>
      </c>
      <c r="AA187" s="1">
        <v>1.875</v>
      </c>
      <c r="AB187" s="1">
        <v>8</v>
      </c>
      <c r="AC187" s="1" t="s">
        <v>59</v>
      </c>
      <c r="AD187" s="1">
        <v>3.26</v>
      </c>
      <c r="AE187" s="1"/>
    </row>
    <row r="188" spans="1:31">
      <c r="A188" s="1">
        <v>183</v>
      </c>
      <c r="B188" s="2" t="s">
        <v>116</v>
      </c>
      <c r="C188">
        <v>500</v>
      </c>
      <c r="D188">
        <v>2</v>
      </c>
      <c r="E188" s="1" t="s">
        <v>51</v>
      </c>
      <c r="F188">
        <v>7.05</v>
      </c>
      <c r="G188">
        <v>0.02</v>
      </c>
      <c r="H188">
        <v>11.2</v>
      </c>
      <c r="I188">
        <v>40.799999999999997</v>
      </c>
      <c r="J188">
        <f t="shared" si="14"/>
        <v>19.18</v>
      </c>
      <c r="K188">
        <v>3.15</v>
      </c>
      <c r="L188">
        <v>1.67</v>
      </c>
      <c r="M188" s="1">
        <f t="shared" si="10"/>
        <v>0.35257352941176473</v>
      </c>
      <c r="N188" s="1">
        <f t="shared" si="11"/>
        <v>6.6176470588235295E-2</v>
      </c>
      <c r="O188" s="1">
        <f t="shared" si="12"/>
        <v>0.41875000000000001</v>
      </c>
      <c r="P188" s="1">
        <f t="shared" si="13"/>
        <v>0.49117647058823527</v>
      </c>
      <c r="Q188">
        <v>35.200000000000003</v>
      </c>
      <c r="R188">
        <v>0.17</v>
      </c>
      <c r="S188">
        <v>48</v>
      </c>
      <c r="T188">
        <v>100</v>
      </c>
      <c r="U188">
        <v>6.5</v>
      </c>
      <c r="V188" s="1">
        <v>1250</v>
      </c>
      <c r="W188">
        <v>200</v>
      </c>
      <c r="X188">
        <v>25</v>
      </c>
      <c r="Y188" s="1" t="s">
        <v>1</v>
      </c>
      <c r="Z188" s="1">
        <v>414.08</v>
      </c>
      <c r="AA188" s="1">
        <v>1.875</v>
      </c>
      <c r="AB188" s="1">
        <v>8</v>
      </c>
      <c r="AC188" s="1" t="s">
        <v>59</v>
      </c>
      <c r="AD188" s="1">
        <v>1.22</v>
      </c>
      <c r="AE188" s="1"/>
    </row>
    <row r="189" spans="1:31">
      <c r="A189" s="1">
        <v>184</v>
      </c>
      <c r="B189" s="2" t="s">
        <v>117</v>
      </c>
      <c r="C189">
        <v>600</v>
      </c>
      <c r="D189">
        <v>1</v>
      </c>
      <c r="E189" s="1" t="s">
        <v>45</v>
      </c>
      <c r="F189">
        <v>601</v>
      </c>
      <c r="G189">
        <v>0.3</v>
      </c>
      <c r="H189">
        <v>2.1</v>
      </c>
      <c r="I189">
        <v>64</v>
      </c>
      <c r="J189">
        <v>10.4</v>
      </c>
      <c r="K189">
        <v>8.1</v>
      </c>
      <c r="L189">
        <v>3.1</v>
      </c>
      <c r="M189" s="1">
        <f t="shared" si="10"/>
        <v>0.12187500000000001</v>
      </c>
      <c r="N189" s="1">
        <f t="shared" si="11"/>
        <v>0.10848214285714285</v>
      </c>
      <c r="O189" s="1">
        <f t="shared" si="12"/>
        <v>0.23035714285714287</v>
      </c>
      <c r="P189" s="1">
        <f t="shared" si="13"/>
        <v>0.58125000000000004</v>
      </c>
      <c r="Q189">
        <f>100-I189-J189-K189-L189</f>
        <v>14.4</v>
      </c>
      <c r="R189">
        <v>0</v>
      </c>
      <c r="S189">
        <v>8</v>
      </c>
      <c r="T189">
        <v>5</v>
      </c>
      <c r="U189">
        <v>4.9000000000000004</v>
      </c>
      <c r="V189" s="1">
        <v>1500</v>
      </c>
      <c r="W189">
        <v>100</v>
      </c>
      <c r="X189">
        <v>30</v>
      </c>
      <c r="Y189" s="1" t="s">
        <v>44</v>
      </c>
      <c r="Z189" s="1">
        <v>414.08</v>
      </c>
      <c r="AA189" s="1">
        <v>1.875</v>
      </c>
      <c r="AB189" s="1">
        <v>8</v>
      </c>
      <c r="AC189" s="1" t="s">
        <v>59</v>
      </c>
      <c r="AD189" s="1">
        <v>2.0699999999999998</v>
      </c>
      <c r="AE189" s="1"/>
    </row>
    <row r="190" spans="1:31">
      <c r="A190" s="1">
        <v>185</v>
      </c>
      <c r="B190" s="2" t="s">
        <v>117</v>
      </c>
      <c r="C190">
        <v>600</v>
      </c>
      <c r="D190">
        <v>1</v>
      </c>
      <c r="E190" s="1" t="s">
        <v>45</v>
      </c>
      <c r="F190">
        <v>839</v>
      </c>
      <c r="G190">
        <v>0.5</v>
      </c>
      <c r="H190">
        <v>2.5</v>
      </c>
      <c r="I190">
        <v>67.400000000000006</v>
      </c>
      <c r="J190">
        <v>10.7</v>
      </c>
      <c r="K190">
        <v>6.8</v>
      </c>
      <c r="L190">
        <v>1.6</v>
      </c>
      <c r="M190" s="1">
        <f t="shared" si="10"/>
        <v>0.11906528189910977</v>
      </c>
      <c r="N190" s="1">
        <f t="shared" si="11"/>
        <v>8.6477320898685872E-2</v>
      </c>
      <c r="O190" s="1">
        <f t="shared" si="12"/>
        <v>0.20554260279779565</v>
      </c>
      <c r="P190" s="1">
        <f t="shared" si="13"/>
        <v>0.28486646884272998</v>
      </c>
      <c r="Q190">
        <f t="shared" ref="Q190:Q203" si="15">100-I190-J190-K190-L190</f>
        <v>13.499999999999995</v>
      </c>
      <c r="R190">
        <v>0</v>
      </c>
      <c r="S190">
        <v>8</v>
      </c>
      <c r="T190">
        <v>5</v>
      </c>
      <c r="U190">
        <v>4.9000000000000004</v>
      </c>
      <c r="V190" s="1">
        <v>1500</v>
      </c>
      <c r="W190">
        <v>100</v>
      </c>
      <c r="X190">
        <v>30</v>
      </c>
      <c r="Y190" s="1" t="s">
        <v>44</v>
      </c>
      <c r="Z190" s="1">
        <v>414.08</v>
      </c>
      <c r="AA190" s="1">
        <v>1.875</v>
      </c>
      <c r="AB190" s="1">
        <v>8</v>
      </c>
      <c r="AC190" s="1" t="s">
        <v>59</v>
      </c>
      <c r="AD190" s="1">
        <v>2.11</v>
      </c>
      <c r="AE190" s="1"/>
    </row>
    <row r="191" spans="1:31">
      <c r="A191" s="1">
        <v>186</v>
      </c>
      <c r="B191" s="2" t="s">
        <v>117</v>
      </c>
      <c r="C191">
        <v>600</v>
      </c>
      <c r="D191">
        <v>1.5</v>
      </c>
      <c r="E191" s="1" t="s">
        <v>45</v>
      </c>
      <c r="F191">
        <v>829</v>
      </c>
      <c r="G191">
        <v>0.5</v>
      </c>
      <c r="H191">
        <v>2.6</v>
      </c>
      <c r="I191">
        <v>68.3</v>
      </c>
      <c r="J191">
        <v>11.6</v>
      </c>
      <c r="K191">
        <v>4.3</v>
      </c>
      <c r="L191">
        <v>1.9</v>
      </c>
      <c r="M191" s="1">
        <f t="shared" si="10"/>
        <v>0.1273792093704246</v>
      </c>
      <c r="N191" s="1">
        <f t="shared" si="11"/>
        <v>5.3963605940179876E-2</v>
      </c>
      <c r="O191" s="1">
        <f t="shared" si="12"/>
        <v>0.18134281531060448</v>
      </c>
      <c r="P191" s="1">
        <f t="shared" si="13"/>
        <v>0.33382137628111275</v>
      </c>
      <c r="Q191">
        <f t="shared" si="15"/>
        <v>13.9</v>
      </c>
      <c r="R191">
        <v>0</v>
      </c>
      <c r="S191">
        <v>8</v>
      </c>
      <c r="T191">
        <v>5</v>
      </c>
      <c r="U191">
        <v>4.9000000000000004</v>
      </c>
      <c r="V191" s="1">
        <v>1500</v>
      </c>
      <c r="W191">
        <v>100</v>
      </c>
      <c r="X191">
        <v>30</v>
      </c>
      <c r="Y191" s="1" t="s">
        <v>44</v>
      </c>
      <c r="Z191" s="1">
        <v>414.08</v>
      </c>
      <c r="AA191" s="1">
        <v>1.875</v>
      </c>
      <c r="AB191" s="1">
        <v>8</v>
      </c>
      <c r="AC191" s="1" t="s">
        <v>59</v>
      </c>
      <c r="AD191" s="1">
        <v>2.19</v>
      </c>
      <c r="AE191" s="1"/>
    </row>
    <row r="192" spans="1:31">
      <c r="A192" s="1">
        <v>187</v>
      </c>
      <c r="B192" s="2" t="s">
        <v>117</v>
      </c>
      <c r="C192">
        <v>600</v>
      </c>
      <c r="D192">
        <v>2</v>
      </c>
      <c r="E192" s="1" t="s">
        <v>45</v>
      </c>
      <c r="F192">
        <v>694</v>
      </c>
      <c r="G192">
        <v>0.4</v>
      </c>
      <c r="H192">
        <v>2.2000000000000002</v>
      </c>
      <c r="I192">
        <v>67.900000000000006</v>
      </c>
      <c r="J192">
        <v>8.6</v>
      </c>
      <c r="K192">
        <v>7.5</v>
      </c>
      <c r="L192">
        <v>1.4</v>
      </c>
      <c r="M192" s="1">
        <f t="shared" si="10"/>
        <v>9.4992636229749614E-2</v>
      </c>
      <c r="N192" s="1">
        <f t="shared" si="11"/>
        <v>9.4677046076162411E-2</v>
      </c>
      <c r="O192" s="1">
        <f t="shared" si="12"/>
        <v>0.18966968230591202</v>
      </c>
      <c r="P192" s="1">
        <f t="shared" si="13"/>
        <v>0.24742268041237109</v>
      </c>
      <c r="Q192">
        <f t="shared" si="15"/>
        <v>14.599999999999993</v>
      </c>
      <c r="R192">
        <v>0</v>
      </c>
      <c r="S192">
        <v>8</v>
      </c>
      <c r="T192">
        <v>5</v>
      </c>
      <c r="U192">
        <v>4.9000000000000004</v>
      </c>
      <c r="V192" s="1">
        <v>1500</v>
      </c>
      <c r="W192">
        <v>100</v>
      </c>
      <c r="X192">
        <v>30</v>
      </c>
      <c r="Y192" s="1" t="s">
        <v>44</v>
      </c>
      <c r="Z192" s="1">
        <v>414.08</v>
      </c>
      <c r="AA192" s="1">
        <v>1.875</v>
      </c>
      <c r="AB192" s="1">
        <v>8</v>
      </c>
      <c r="AC192" s="1" t="s">
        <v>59</v>
      </c>
      <c r="AD192" s="1">
        <v>2.0299999999999998</v>
      </c>
      <c r="AE192" s="1"/>
    </row>
    <row r="193" spans="1:31">
      <c r="A193" s="1">
        <v>188</v>
      </c>
      <c r="B193" s="2" t="s">
        <v>117</v>
      </c>
      <c r="C193">
        <v>600</v>
      </c>
      <c r="D193">
        <v>2</v>
      </c>
      <c r="E193" s="1" t="s">
        <v>45</v>
      </c>
      <c r="F193">
        <v>847</v>
      </c>
      <c r="G193">
        <v>0.6</v>
      </c>
      <c r="H193">
        <v>2.8</v>
      </c>
      <c r="I193">
        <v>69.8</v>
      </c>
      <c r="J193">
        <v>9</v>
      </c>
      <c r="K193">
        <v>5.4</v>
      </c>
      <c r="L193">
        <v>1.6</v>
      </c>
      <c r="M193" s="1">
        <f t="shared" si="10"/>
        <v>9.6704871060171921E-2</v>
      </c>
      <c r="N193" s="1">
        <f t="shared" si="11"/>
        <v>6.6311911584117894E-2</v>
      </c>
      <c r="O193" s="1">
        <f t="shared" si="12"/>
        <v>0.16301678264428981</v>
      </c>
      <c r="P193" s="1">
        <f t="shared" si="13"/>
        <v>0.27507163323782235</v>
      </c>
      <c r="Q193">
        <f t="shared" si="15"/>
        <v>14.200000000000003</v>
      </c>
      <c r="R193">
        <v>0</v>
      </c>
      <c r="S193">
        <v>8</v>
      </c>
      <c r="T193">
        <v>5</v>
      </c>
      <c r="U193">
        <v>4.9000000000000004</v>
      </c>
      <c r="V193" s="1">
        <v>1500</v>
      </c>
      <c r="W193">
        <v>100</v>
      </c>
      <c r="X193">
        <v>30</v>
      </c>
      <c r="Y193" s="1" t="s">
        <v>44</v>
      </c>
      <c r="Z193" s="1">
        <v>414.08</v>
      </c>
      <c r="AA193" s="1">
        <v>1.875</v>
      </c>
      <c r="AB193" s="1">
        <v>8</v>
      </c>
      <c r="AC193" s="1" t="s">
        <v>59</v>
      </c>
      <c r="AD193" s="1">
        <v>2.29</v>
      </c>
      <c r="AE193" s="1"/>
    </row>
    <row r="194" spans="1:31">
      <c r="A194" s="1">
        <v>189</v>
      </c>
      <c r="B194" s="2" t="s">
        <v>117</v>
      </c>
      <c r="C194">
        <v>700</v>
      </c>
      <c r="D194">
        <v>1</v>
      </c>
      <c r="E194" s="1" t="s">
        <v>45</v>
      </c>
      <c r="F194">
        <v>981</v>
      </c>
      <c r="G194">
        <v>0.7</v>
      </c>
      <c r="H194">
        <v>2.7</v>
      </c>
      <c r="I194">
        <v>76.7</v>
      </c>
      <c r="J194">
        <v>10.199999999999999</v>
      </c>
      <c r="K194">
        <v>0.8</v>
      </c>
      <c r="L194">
        <v>1.01</v>
      </c>
      <c r="M194" s="1">
        <f t="shared" si="10"/>
        <v>9.9739243807040412E-2</v>
      </c>
      <c r="N194" s="1">
        <f t="shared" si="11"/>
        <v>8.9402123300428397E-3</v>
      </c>
      <c r="O194" s="1">
        <f t="shared" si="12"/>
        <v>0.10867945613708326</v>
      </c>
      <c r="P194" s="1">
        <f t="shared" si="13"/>
        <v>0.15801825293350719</v>
      </c>
      <c r="Q194">
        <f t="shared" si="15"/>
        <v>11.289999999999997</v>
      </c>
      <c r="R194">
        <v>0</v>
      </c>
      <c r="S194">
        <v>8</v>
      </c>
      <c r="T194">
        <v>5</v>
      </c>
      <c r="U194">
        <v>4.9000000000000004</v>
      </c>
      <c r="V194" s="1">
        <v>1500</v>
      </c>
      <c r="W194">
        <v>100</v>
      </c>
      <c r="X194">
        <v>30</v>
      </c>
      <c r="Y194" s="1" t="s">
        <v>44</v>
      </c>
      <c r="Z194" s="1">
        <v>414.08</v>
      </c>
      <c r="AA194" s="1">
        <v>1.875</v>
      </c>
      <c r="AB194" s="1">
        <v>8</v>
      </c>
      <c r="AC194" s="1" t="s">
        <v>59</v>
      </c>
      <c r="AD194" s="1">
        <v>2.19</v>
      </c>
      <c r="AE194" s="1"/>
    </row>
    <row r="195" spans="1:31">
      <c r="A195" s="1">
        <v>190</v>
      </c>
      <c r="B195" s="2" t="s">
        <v>117</v>
      </c>
      <c r="C195">
        <v>700</v>
      </c>
      <c r="D195">
        <v>1.5</v>
      </c>
      <c r="E195" s="1" t="s">
        <v>45</v>
      </c>
      <c r="F195">
        <v>983</v>
      </c>
      <c r="G195">
        <v>0.7</v>
      </c>
      <c r="H195">
        <v>2.8</v>
      </c>
      <c r="I195">
        <v>70.900000000000006</v>
      </c>
      <c r="J195">
        <v>10.5</v>
      </c>
      <c r="K195">
        <v>2.7</v>
      </c>
      <c r="L195">
        <v>0.8</v>
      </c>
      <c r="M195" s="1">
        <f t="shared" si="10"/>
        <v>0.11107193229901267</v>
      </c>
      <c r="N195" s="1">
        <f t="shared" si="11"/>
        <v>3.2641547451138418E-2</v>
      </c>
      <c r="O195" s="1">
        <f t="shared" si="12"/>
        <v>0.14371347975015109</v>
      </c>
      <c r="P195" s="1">
        <f t="shared" si="13"/>
        <v>0.13540197461212974</v>
      </c>
      <c r="Q195">
        <f t="shared" si="15"/>
        <v>15.099999999999994</v>
      </c>
      <c r="R195">
        <v>0</v>
      </c>
      <c r="S195">
        <v>8</v>
      </c>
      <c r="T195">
        <v>5</v>
      </c>
      <c r="U195">
        <v>4.9000000000000004</v>
      </c>
      <c r="V195" s="1">
        <v>1500</v>
      </c>
      <c r="W195">
        <v>100</v>
      </c>
      <c r="X195">
        <v>30</v>
      </c>
      <c r="Y195" s="1" t="s">
        <v>44</v>
      </c>
      <c r="Z195" s="1">
        <v>414.08</v>
      </c>
      <c r="AA195" s="1">
        <v>1.875</v>
      </c>
      <c r="AB195" s="1">
        <v>8</v>
      </c>
      <c r="AC195" s="1" t="s">
        <v>59</v>
      </c>
      <c r="AD195" s="1">
        <v>2.3199999999999998</v>
      </c>
      <c r="AE195" s="1"/>
    </row>
    <row r="196" spans="1:31">
      <c r="A196" s="1">
        <v>191</v>
      </c>
      <c r="B196" s="2" t="s">
        <v>117</v>
      </c>
      <c r="C196">
        <v>700</v>
      </c>
      <c r="D196">
        <v>1.5</v>
      </c>
      <c r="E196" s="1" t="s">
        <v>45</v>
      </c>
      <c r="F196">
        <v>1106</v>
      </c>
      <c r="G196">
        <v>0.9</v>
      </c>
      <c r="H196">
        <v>3.3</v>
      </c>
      <c r="I196">
        <v>75</v>
      </c>
      <c r="J196">
        <v>9</v>
      </c>
      <c r="K196">
        <v>3.8</v>
      </c>
      <c r="L196">
        <v>0.9</v>
      </c>
      <c r="M196" s="1">
        <f t="shared" si="10"/>
        <v>0.09</v>
      </c>
      <c r="N196" s="1">
        <f t="shared" si="11"/>
        <v>4.3428571428571427E-2</v>
      </c>
      <c r="O196" s="1">
        <f t="shared" si="12"/>
        <v>0.13342857142857142</v>
      </c>
      <c r="P196" s="1">
        <f t="shared" si="13"/>
        <v>0.14400000000000002</v>
      </c>
      <c r="Q196">
        <f t="shared" si="15"/>
        <v>11.299999999999999</v>
      </c>
      <c r="R196">
        <v>0</v>
      </c>
      <c r="S196">
        <v>8</v>
      </c>
      <c r="T196">
        <v>5</v>
      </c>
      <c r="U196">
        <v>4.9000000000000004</v>
      </c>
      <c r="V196" s="1">
        <v>1500</v>
      </c>
      <c r="W196">
        <v>100</v>
      </c>
      <c r="X196">
        <v>30</v>
      </c>
      <c r="Y196" s="1" t="s">
        <v>44</v>
      </c>
      <c r="Z196" s="1">
        <v>414.08</v>
      </c>
      <c r="AA196" s="1">
        <v>1.875</v>
      </c>
      <c r="AB196" s="1">
        <v>8</v>
      </c>
      <c r="AC196" s="1" t="s">
        <v>59</v>
      </c>
      <c r="AD196" s="1">
        <v>2.66</v>
      </c>
      <c r="AE196" s="1"/>
    </row>
    <row r="197" spans="1:31">
      <c r="A197" s="1">
        <v>192</v>
      </c>
      <c r="B197" s="2" t="s">
        <v>117</v>
      </c>
      <c r="C197">
        <v>700</v>
      </c>
      <c r="D197">
        <v>1.5</v>
      </c>
      <c r="E197" s="1" t="s">
        <v>45</v>
      </c>
      <c r="F197">
        <v>1116</v>
      </c>
      <c r="G197">
        <v>0.9</v>
      </c>
      <c r="H197">
        <v>3.2</v>
      </c>
      <c r="I197">
        <v>74.400000000000006</v>
      </c>
      <c r="J197">
        <v>9</v>
      </c>
      <c r="K197">
        <v>3.4</v>
      </c>
      <c r="L197">
        <v>1.03</v>
      </c>
      <c r="M197" s="1">
        <f t="shared" si="10"/>
        <v>9.0725806451612906E-2</v>
      </c>
      <c r="N197" s="1">
        <f t="shared" si="11"/>
        <v>3.9170506912442393E-2</v>
      </c>
      <c r="O197" s="1">
        <f t="shared" si="12"/>
        <v>0.1298963133640553</v>
      </c>
      <c r="P197" s="1">
        <f t="shared" si="13"/>
        <v>0.16612903225806452</v>
      </c>
      <c r="Q197">
        <f t="shared" si="15"/>
        <v>12.169999999999995</v>
      </c>
      <c r="R197">
        <v>0</v>
      </c>
      <c r="S197">
        <v>8</v>
      </c>
      <c r="T197">
        <v>5</v>
      </c>
      <c r="U197">
        <v>4.9000000000000004</v>
      </c>
      <c r="V197" s="1">
        <v>1500</v>
      </c>
      <c r="W197">
        <v>100</v>
      </c>
      <c r="X197">
        <v>30</v>
      </c>
      <c r="Y197" s="1" t="s">
        <v>44</v>
      </c>
      <c r="Z197" s="1">
        <v>414.08</v>
      </c>
      <c r="AA197" s="1">
        <v>1.875</v>
      </c>
      <c r="AB197" s="1">
        <v>8</v>
      </c>
      <c r="AC197" s="1" t="s">
        <v>59</v>
      </c>
      <c r="AD197" s="1">
        <v>2.59</v>
      </c>
      <c r="AE197" s="1"/>
    </row>
    <row r="198" spans="1:31">
      <c r="A198" s="1">
        <v>193</v>
      </c>
      <c r="B198" s="2" t="s">
        <v>117</v>
      </c>
      <c r="C198">
        <v>700</v>
      </c>
      <c r="D198">
        <v>2</v>
      </c>
      <c r="E198" s="1" t="s">
        <v>45</v>
      </c>
      <c r="F198">
        <v>1111</v>
      </c>
      <c r="G198">
        <v>0.9</v>
      </c>
      <c r="H198">
        <v>3.2</v>
      </c>
      <c r="I198">
        <v>82.8</v>
      </c>
      <c r="J198">
        <v>9.1999999999999993</v>
      </c>
      <c r="K198">
        <v>3.3</v>
      </c>
      <c r="L198">
        <v>0.7</v>
      </c>
      <c r="M198" s="1">
        <f t="shared" si="10"/>
        <v>8.3333333333333329E-2</v>
      </c>
      <c r="N198" s="1">
        <f t="shared" si="11"/>
        <v>3.4161490683229816E-2</v>
      </c>
      <c r="O198" s="1">
        <f t="shared" si="12"/>
        <v>0.11749482401656315</v>
      </c>
      <c r="P198" s="1">
        <f t="shared" si="13"/>
        <v>0.10144927536231885</v>
      </c>
      <c r="Q198">
        <f t="shared" si="15"/>
        <v>4.0000000000000036</v>
      </c>
      <c r="R198">
        <v>0</v>
      </c>
      <c r="S198">
        <v>8</v>
      </c>
      <c r="T198">
        <v>5</v>
      </c>
      <c r="U198">
        <v>4.9000000000000004</v>
      </c>
      <c r="V198" s="1">
        <v>1500</v>
      </c>
      <c r="W198">
        <v>100</v>
      </c>
      <c r="X198">
        <v>30</v>
      </c>
      <c r="Y198" s="1" t="s">
        <v>44</v>
      </c>
      <c r="Z198" s="1">
        <v>414.08</v>
      </c>
      <c r="AA198" s="1">
        <v>1.875</v>
      </c>
      <c r="AB198" s="1">
        <v>8</v>
      </c>
      <c r="AC198" s="1" t="s">
        <v>59</v>
      </c>
      <c r="AD198" s="1">
        <v>2.62</v>
      </c>
      <c r="AE198" s="1"/>
    </row>
    <row r="199" spans="1:31">
      <c r="A199" s="1">
        <v>194</v>
      </c>
      <c r="B199" s="2" t="s">
        <v>117</v>
      </c>
      <c r="C199">
        <v>800</v>
      </c>
      <c r="D199">
        <v>1</v>
      </c>
      <c r="E199" s="1" t="s">
        <v>45</v>
      </c>
      <c r="F199">
        <v>1435</v>
      </c>
      <c r="G199">
        <v>1.2</v>
      </c>
      <c r="H199">
        <v>3.4</v>
      </c>
      <c r="I199">
        <v>79</v>
      </c>
      <c r="J199">
        <v>10.4</v>
      </c>
      <c r="K199">
        <v>3.8</v>
      </c>
      <c r="L199">
        <v>0.6</v>
      </c>
      <c r="M199" s="1">
        <f t="shared" ref="M199:M212" si="16">(J199/16)/(I199/12)</f>
        <v>9.8734177215189886E-2</v>
      </c>
      <c r="N199" s="1">
        <f t="shared" ref="N199:N212" si="17">(K199/14)/(I199/12)</f>
        <v>4.1229656419529838E-2</v>
      </c>
      <c r="O199" s="1">
        <f t="shared" ref="O199:O212" si="18">(J199/16+K199/14)/(I199/12)</f>
        <v>0.13996383363471973</v>
      </c>
      <c r="P199" s="1">
        <f t="shared" ref="P199:P212" si="19">(L199/1)/(I199/12)</f>
        <v>9.1139240506329114E-2</v>
      </c>
      <c r="Q199">
        <f t="shared" si="15"/>
        <v>6.2</v>
      </c>
      <c r="R199">
        <v>0</v>
      </c>
      <c r="S199">
        <v>8</v>
      </c>
      <c r="T199">
        <v>5</v>
      </c>
      <c r="U199">
        <v>4.9000000000000004</v>
      </c>
      <c r="V199" s="1">
        <v>1500</v>
      </c>
      <c r="W199">
        <v>100</v>
      </c>
      <c r="X199">
        <v>30</v>
      </c>
      <c r="Y199" s="1" t="s">
        <v>44</v>
      </c>
      <c r="Z199" s="1">
        <v>414.08</v>
      </c>
      <c r="AA199" s="1">
        <v>1.875</v>
      </c>
      <c r="AB199" s="1">
        <v>8</v>
      </c>
      <c r="AC199" s="1" t="s">
        <v>59</v>
      </c>
      <c r="AD199" s="1">
        <v>2.81</v>
      </c>
      <c r="AE199" s="1"/>
    </row>
    <row r="200" spans="1:31">
      <c r="A200" s="1">
        <v>195</v>
      </c>
      <c r="B200" s="2" t="s">
        <v>117</v>
      </c>
      <c r="C200">
        <v>800</v>
      </c>
      <c r="D200">
        <v>1</v>
      </c>
      <c r="E200" s="1" t="s">
        <v>45</v>
      </c>
      <c r="F200">
        <v>1558</v>
      </c>
      <c r="G200">
        <v>1.4</v>
      </c>
      <c r="H200">
        <v>3.6</v>
      </c>
      <c r="I200">
        <v>86</v>
      </c>
      <c r="J200">
        <v>6.9</v>
      </c>
      <c r="K200">
        <v>1</v>
      </c>
      <c r="L200">
        <v>0.5</v>
      </c>
      <c r="M200" s="1">
        <f t="shared" si="16"/>
        <v>6.0174418604651163E-2</v>
      </c>
      <c r="N200" s="1">
        <f t="shared" si="17"/>
        <v>9.9667774086378731E-3</v>
      </c>
      <c r="O200" s="1">
        <f t="shared" si="18"/>
        <v>7.0141196013289026E-2</v>
      </c>
      <c r="P200" s="1">
        <f t="shared" si="19"/>
        <v>6.9767441860465115E-2</v>
      </c>
      <c r="Q200">
        <f t="shared" si="15"/>
        <v>5.6</v>
      </c>
      <c r="R200">
        <v>0</v>
      </c>
      <c r="S200">
        <v>8</v>
      </c>
      <c r="T200">
        <v>5</v>
      </c>
      <c r="U200">
        <v>4.9000000000000004</v>
      </c>
      <c r="V200" s="1">
        <v>1500</v>
      </c>
      <c r="W200">
        <v>100</v>
      </c>
      <c r="X200">
        <v>30</v>
      </c>
      <c r="Y200" s="1" t="s">
        <v>44</v>
      </c>
      <c r="Z200" s="1">
        <v>414.08</v>
      </c>
      <c r="AA200" s="1">
        <v>1.875</v>
      </c>
      <c r="AB200" s="1">
        <v>8</v>
      </c>
      <c r="AC200" s="1" t="s">
        <v>59</v>
      </c>
      <c r="AD200">
        <v>3.08</v>
      </c>
      <c r="AE200" s="1"/>
    </row>
    <row r="201" spans="1:31">
      <c r="A201" s="1">
        <v>196</v>
      </c>
      <c r="B201" s="2" t="s">
        <v>117</v>
      </c>
      <c r="C201">
        <v>800</v>
      </c>
      <c r="D201">
        <v>1.5</v>
      </c>
      <c r="E201" s="1" t="s">
        <v>45</v>
      </c>
      <c r="F201">
        <v>1598</v>
      </c>
      <c r="G201">
        <v>1.3</v>
      </c>
      <c r="H201">
        <v>3.4</v>
      </c>
      <c r="I201">
        <v>72.8</v>
      </c>
      <c r="J201">
        <v>9.5</v>
      </c>
      <c r="K201">
        <v>3.6</v>
      </c>
      <c r="L201">
        <v>1.2</v>
      </c>
      <c r="M201" s="1">
        <f t="shared" si="16"/>
        <v>9.787087912087912E-2</v>
      </c>
      <c r="N201" s="1">
        <f t="shared" si="17"/>
        <v>4.2386185243328107E-2</v>
      </c>
      <c r="O201" s="1">
        <f t="shared" si="18"/>
        <v>0.14025706436420723</v>
      </c>
      <c r="P201" s="1">
        <f t="shared" si="19"/>
        <v>0.19780219780219779</v>
      </c>
      <c r="Q201">
        <f t="shared" si="15"/>
        <v>12.900000000000004</v>
      </c>
      <c r="R201">
        <v>0</v>
      </c>
      <c r="S201">
        <v>8</v>
      </c>
      <c r="T201">
        <v>5</v>
      </c>
      <c r="U201">
        <v>4.9000000000000004</v>
      </c>
      <c r="V201" s="1">
        <v>1500</v>
      </c>
      <c r="W201">
        <v>100</v>
      </c>
      <c r="X201">
        <v>30</v>
      </c>
      <c r="Y201" s="1" t="s">
        <v>44</v>
      </c>
      <c r="Z201" s="1">
        <v>414.08</v>
      </c>
      <c r="AA201" s="1">
        <v>1.875</v>
      </c>
      <c r="AB201" s="1">
        <v>8</v>
      </c>
      <c r="AC201" s="1" t="s">
        <v>59</v>
      </c>
      <c r="AD201">
        <v>2.84</v>
      </c>
      <c r="AE201" s="1"/>
    </row>
    <row r="202" spans="1:31">
      <c r="A202" s="1">
        <v>197</v>
      </c>
      <c r="B202" s="2" t="s">
        <v>117</v>
      </c>
      <c r="C202">
        <v>800</v>
      </c>
      <c r="D202">
        <v>2</v>
      </c>
      <c r="E202" s="1" t="s">
        <v>45</v>
      </c>
      <c r="F202">
        <v>1563</v>
      </c>
      <c r="G202">
        <v>1.3</v>
      </c>
      <c r="H202">
        <v>3.3</v>
      </c>
      <c r="I202">
        <v>76.900000000000006</v>
      </c>
      <c r="J202">
        <v>8.9</v>
      </c>
      <c r="K202">
        <v>0.4</v>
      </c>
      <c r="L202">
        <v>5.9</v>
      </c>
      <c r="M202" s="1">
        <f t="shared" si="16"/>
        <v>8.6801040312093625E-2</v>
      </c>
      <c r="N202" s="1">
        <f t="shared" si="17"/>
        <v>4.4584804012632361E-3</v>
      </c>
      <c r="O202" s="1">
        <f t="shared" si="18"/>
        <v>9.1259520713356856E-2</v>
      </c>
      <c r="P202" s="1">
        <f t="shared" si="19"/>
        <v>0.92067620286085816</v>
      </c>
      <c r="Q202">
        <f t="shared" si="15"/>
        <v>7.8999999999999932</v>
      </c>
      <c r="R202">
        <v>0</v>
      </c>
      <c r="S202">
        <v>8</v>
      </c>
      <c r="T202">
        <v>5</v>
      </c>
      <c r="U202">
        <v>4.9000000000000004</v>
      </c>
      <c r="V202" s="1">
        <v>1500</v>
      </c>
      <c r="W202">
        <v>100</v>
      </c>
      <c r="X202">
        <v>30</v>
      </c>
      <c r="Y202" s="1" t="s">
        <v>44</v>
      </c>
      <c r="Z202" s="1">
        <v>414.08</v>
      </c>
      <c r="AA202" s="1">
        <v>1.875</v>
      </c>
      <c r="AB202" s="1">
        <v>8</v>
      </c>
      <c r="AC202" s="1" t="s">
        <v>59</v>
      </c>
      <c r="AD202">
        <v>2.76</v>
      </c>
      <c r="AE202" s="1"/>
    </row>
    <row r="203" spans="1:31" ht="15" customHeight="1">
      <c r="A203" s="1">
        <v>198</v>
      </c>
      <c r="B203" s="2" t="s">
        <v>117</v>
      </c>
      <c r="C203">
        <v>800</v>
      </c>
      <c r="D203">
        <v>2</v>
      </c>
      <c r="E203" s="1" t="s">
        <v>45</v>
      </c>
      <c r="F203">
        <v>1680</v>
      </c>
      <c r="G203">
        <v>1.4</v>
      </c>
      <c r="H203">
        <v>3.4</v>
      </c>
      <c r="I203">
        <v>73.900000000000006</v>
      </c>
      <c r="J203">
        <v>6.1</v>
      </c>
      <c r="K203">
        <v>6.01</v>
      </c>
      <c r="L203">
        <v>1.4</v>
      </c>
      <c r="M203" s="1">
        <f t="shared" si="16"/>
        <v>6.1907983761840313E-2</v>
      </c>
      <c r="N203" s="1">
        <f t="shared" si="17"/>
        <v>6.9708099748695143E-2</v>
      </c>
      <c r="O203" s="1">
        <f t="shared" si="18"/>
        <v>0.13161608351053544</v>
      </c>
      <c r="P203" s="1">
        <f t="shared" si="19"/>
        <v>0.22733423545331524</v>
      </c>
      <c r="Q203">
        <f t="shared" si="15"/>
        <v>12.589999999999993</v>
      </c>
      <c r="R203">
        <v>0</v>
      </c>
      <c r="S203">
        <v>8</v>
      </c>
      <c r="T203">
        <v>5</v>
      </c>
      <c r="U203">
        <v>4.9000000000000004</v>
      </c>
      <c r="V203" s="1">
        <v>1500</v>
      </c>
      <c r="W203">
        <v>100</v>
      </c>
      <c r="X203">
        <v>30</v>
      </c>
      <c r="Y203" s="1" t="s">
        <v>44</v>
      </c>
      <c r="Z203" s="1">
        <v>414.08</v>
      </c>
      <c r="AA203" s="1">
        <v>1.875</v>
      </c>
      <c r="AB203" s="1">
        <v>8</v>
      </c>
      <c r="AC203" s="1" t="s">
        <v>59</v>
      </c>
      <c r="AD203">
        <v>2.87</v>
      </c>
      <c r="AE203" s="1"/>
    </row>
    <row r="204" spans="1:31" ht="15" customHeight="1">
      <c r="A204" s="1">
        <v>199</v>
      </c>
      <c r="B204" s="2" t="s">
        <v>116</v>
      </c>
      <c r="C204">
        <v>250</v>
      </c>
      <c r="D204">
        <v>1.5</v>
      </c>
      <c r="E204" s="1" t="s">
        <v>0</v>
      </c>
      <c r="F204">
        <v>2.5</v>
      </c>
      <c r="G204">
        <v>1.2999999999999999E-2</v>
      </c>
      <c r="H204">
        <v>5.78</v>
      </c>
      <c r="I204">
        <v>51.14</v>
      </c>
      <c r="J204">
        <v>37.61</v>
      </c>
      <c r="K204">
        <v>1.57</v>
      </c>
      <c r="L204">
        <v>4.8099999999999996</v>
      </c>
      <c r="M204" s="1">
        <f t="shared" si="16"/>
        <v>0.55157411028549075</v>
      </c>
      <c r="N204" s="1">
        <f t="shared" si="17"/>
        <v>2.6314319235711491E-2</v>
      </c>
      <c r="O204" s="1">
        <f t="shared" si="18"/>
        <v>0.57788842952120223</v>
      </c>
      <c r="P204" s="1">
        <f t="shared" si="19"/>
        <v>1.128666405944466</v>
      </c>
      <c r="Q204">
        <v>4.87</v>
      </c>
      <c r="R204">
        <v>0</v>
      </c>
      <c r="S204">
        <v>48</v>
      </c>
      <c r="T204">
        <v>10</v>
      </c>
      <c r="U204">
        <v>7</v>
      </c>
      <c r="V204" s="1">
        <v>200</v>
      </c>
      <c r="W204">
        <v>150</v>
      </c>
      <c r="X204">
        <v>25</v>
      </c>
      <c r="Y204" s="1" t="s">
        <v>2</v>
      </c>
      <c r="Z204" s="1">
        <v>500.13</v>
      </c>
      <c r="AA204" s="1">
        <v>1.875</v>
      </c>
      <c r="AB204" s="1">
        <v>8</v>
      </c>
      <c r="AC204" s="1" t="s">
        <v>60</v>
      </c>
      <c r="AD204">
        <v>135.53</v>
      </c>
      <c r="AE204" s="1"/>
    </row>
    <row r="205" spans="1:31" ht="15" customHeight="1">
      <c r="A205" s="1">
        <v>200</v>
      </c>
      <c r="B205" s="2" t="s">
        <v>116</v>
      </c>
      <c r="C205">
        <v>400</v>
      </c>
      <c r="D205">
        <v>1.5</v>
      </c>
      <c r="E205" s="1" t="s">
        <v>0</v>
      </c>
      <c r="F205">
        <v>3.75</v>
      </c>
      <c r="G205">
        <v>1.7000000000000001E-2</v>
      </c>
      <c r="H205">
        <v>5.04</v>
      </c>
      <c r="I205">
        <v>64.61</v>
      </c>
      <c r="J205">
        <v>23.34</v>
      </c>
      <c r="K205">
        <v>2.08</v>
      </c>
      <c r="L205">
        <v>3.66</v>
      </c>
      <c r="M205" s="1">
        <f t="shared" si="16"/>
        <v>0.27093329206005262</v>
      </c>
      <c r="N205" s="1">
        <f t="shared" si="17"/>
        <v>2.7594136246047719E-2</v>
      </c>
      <c r="O205" s="1">
        <f t="shared" si="18"/>
        <v>0.29852742830610035</v>
      </c>
      <c r="P205" s="1">
        <f t="shared" si="19"/>
        <v>0.67977093329206018</v>
      </c>
      <c r="Q205">
        <v>6.31</v>
      </c>
      <c r="R205">
        <v>0</v>
      </c>
      <c r="S205">
        <v>48</v>
      </c>
      <c r="T205">
        <v>10</v>
      </c>
      <c r="U205">
        <v>7</v>
      </c>
      <c r="V205" s="1">
        <v>200</v>
      </c>
      <c r="W205">
        <v>150</v>
      </c>
      <c r="X205">
        <v>25</v>
      </c>
      <c r="Y205" s="1" t="s">
        <v>2</v>
      </c>
      <c r="Z205" s="1">
        <v>500.13</v>
      </c>
      <c r="AA205" s="1">
        <v>1.875</v>
      </c>
      <c r="AB205" s="1">
        <v>8</v>
      </c>
      <c r="AC205" s="1" t="s">
        <v>60</v>
      </c>
      <c r="AD205">
        <v>146.52000000000001</v>
      </c>
      <c r="AE205" s="1"/>
    </row>
    <row r="206" spans="1:31" ht="15" customHeight="1">
      <c r="A206" s="1">
        <v>201</v>
      </c>
      <c r="B206" s="2" t="s">
        <v>116</v>
      </c>
      <c r="C206">
        <v>550</v>
      </c>
      <c r="D206">
        <v>1.5</v>
      </c>
      <c r="E206" s="1" t="s">
        <v>0</v>
      </c>
      <c r="F206">
        <v>41.1</v>
      </c>
      <c r="G206">
        <v>4.2999999999999997E-2</v>
      </c>
      <c r="H206">
        <v>1.1599999999999999</v>
      </c>
      <c r="I206">
        <v>68.53</v>
      </c>
      <c r="J206">
        <v>18.07</v>
      </c>
      <c r="K206">
        <v>2.42</v>
      </c>
      <c r="L206">
        <v>2.64</v>
      </c>
      <c r="M206" s="1">
        <f t="shared" si="16"/>
        <v>0.19776010506347586</v>
      </c>
      <c r="N206" s="1">
        <f t="shared" si="17"/>
        <v>3.0268287090116943E-2</v>
      </c>
      <c r="O206" s="1">
        <f t="shared" si="18"/>
        <v>0.2280283921535928</v>
      </c>
      <c r="P206" s="1">
        <f t="shared" si="19"/>
        <v>0.4622792937399679</v>
      </c>
      <c r="Q206">
        <v>8.34</v>
      </c>
      <c r="R206">
        <v>0</v>
      </c>
      <c r="S206">
        <v>48</v>
      </c>
      <c r="T206">
        <v>10</v>
      </c>
      <c r="U206">
        <v>7</v>
      </c>
      <c r="V206" s="1">
        <v>200</v>
      </c>
      <c r="W206">
        <v>150</v>
      </c>
      <c r="X206">
        <v>25</v>
      </c>
      <c r="Y206" s="1" t="s">
        <v>2</v>
      </c>
      <c r="Z206" s="1">
        <v>500.13</v>
      </c>
      <c r="AA206" s="1">
        <v>1.875</v>
      </c>
      <c r="AB206" s="1">
        <v>8</v>
      </c>
      <c r="AC206" s="1" t="s">
        <v>60</v>
      </c>
      <c r="AD206">
        <v>166.42</v>
      </c>
      <c r="AE206" s="1"/>
    </row>
    <row r="207" spans="1:31">
      <c r="A207" s="1">
        <v>202</v>
      </c>
      <c r="B207" s="2" t="s">
        <v>116</v>
      </c>
      <c r="C207">
        <v>700</v>
      </c>
      <c r="D207">
        <v>1.5</v>
      </c>
      <c r="E207" s="1" t="s">
        <v>46</v>
      </c>
      <c r="F207">
        <v>297.58</v>
      </c>
      <c r="G207">
        <v>0.19900000000000001</v>
      </c>
      <c r="H207">
        <v>0.74</v>
      </c>
      <c r="I207">
        <v>70.22</v>
      </c>
      <c r="J207">
        <v>16.420000000000002</v>
      </c>
      <c r="K207">
        <v>1.55</v>
      </c>
      <c r="L207">
        <v>1.77</v>
      </c>
      <c r="M207" s="1">
        <f t="shared" si="16"/>
        <v>0.17537738536029623</v>
      </c>
      <c r="N207" s="1">
        <f t="shared" si="17"/>
        <v>1.8920128575497418E-2</v>
      </c>
      <c r="O207" s="1">
        <f t="shared" si="18"/>
        <v>0.19429751393579367</v>
      </c>
      <c r="P207" s="1">
        <f t="shared" si="19"/>
        <v>0.30247792651666194</v>
      </c>
      <c r="Q207">
        <v>10.039999999999999</v>
      </c>
      <c r="R207">
        <v>0</v>
      </c>
      <c r="S207">
        <v>48</v>
      </c>
      <c r="T207">
        <v>10</v>
      </c>
      <c r="U207">
        <v>7</v>
      </c>
      <c r="V207" s="1">
        <v>200</v>
      </c>
      <c r="W207">
        <v>150</v>
      </c>
      <c r="X207">
        <v>25</v>
      </c>
      <c r="Y207" s="1" t="s">
        <v>2</v>
      </c>
      <c r="Z207" s="1">
        <v>500.13</v>
      </c>
      <c r="AA207" s="1">
        <v>1.875</v>
      </c>
      <c r="AB207" s="1">
        <v>8</v>
      </c>
      <c r="AC207" s="1" t="s">
        <v>60</v>
      </c>
      <c r="AD207">
        <v>169.3</v>
      </c>
      <c r="AE207" s="1"/>
    </row>
    <row r="208" spans="1:31">
      <c r="A208" s="1">
        <v>203</v>
      </c>
      <c r="B208" s="2" t="s">
        <v>108</v>
      </c>
      <c r="C208">
        <v>300</v>
      </c>
      <c r="D208">
        <v>2</v>
      </c>
      <c r="E208" s="1" t="s">
        <v>0</v>
      </c>
      <c r="F208">
        <v>76.180000000000007</v>
      </c>
      <c r="G208">
        <v>0.06</v>
      </c>
      <c r="H208">
        <v>0.88</v>
      </c>
      <c r="I208">
        <v>35.04</v>
      </c>
      <c r="J208">
        <v>3</v>
      </c>
      <c r="K208">
        <v>1.0900000000000001</v>
      </c>
      <c r="L208">
        <v>2.2599999999999998</v>
      </c>
      <c r="M208" s="1">
        <f t="shared" si="16"/>
        <v>6.4212328767123295E-2</v>
      </c>
      <c r="N208" s="1">
        <f t="shared" si="17"/>
        <v>2.6663405088062624E-2</v>
      </c>
      <c r="O208" s="1">
        <f t="shared" si="18"/>
        <v>9.0875733855185908E-2</v>
      </c>
      <c r="P208" s="1">
        <f t="shared" si="19"/>
        <v>0.77397260273972601</v>
      </c>
      <c r="Q208">
        <v>58.61</v>
      </c>
      <c r="R208">
        <v>0</v>
      </c>
      <c r="S208">
        <v>48</v>
      </c>
      <c r="T208">
        <v>1</v>
      </c>
      <c r="U208">
        <v>2</v>
      </c>
      <c r="V208" s="1">
        <v>500</v>
      </c>
      <c r="W208">
        <v>180</v>
      </c>
      <c r="X208">
        <v>25</v>
      </c>
      <c r="Y208" s="1" t="s">
        <v>2</v>
      </c>
      <c r="Z208" s="1">
        <v>500.13</v>
      </c>
      <c r="AA208" s="1">
        <v>1.875</v>
      </c>
      <c r="AB208" s="1">
        <v>8</v>
      </c>
      <c r="AC208" s="1" t="s">
        <v>60</v>
      </c>
      <c r="AD208">
        <v>0.80200000000000005</v>
      </c>
      <c r="AE208" s="1"/>
    </row>
    <row r="209" spans="1:31">
      <c r="A209" s="1">
        <v>204</v>
      </c>
      <c r="B209" s="2" t="s">
        <v>108</v>
      </c>
      <c r="C209">
        <v>500</v>
      </c>
      <c r="D209">
        <v>2</v>
      </c>
      <c r="E209" s="1" t="s">
        <v>46</v>
      </c>
      <c r="F209">
        <v>184.25</v>
      </c>
      <c r="G209">
        <v>3.6</v>
      </c>
      <c r="H209">
        <v>21.71</v>
      </c>
      <c r="I209">
        <v>23.02</v>
      </c>
      <c r="J209">
        <v>29.48</v>
      </c>
      <c r="K209">
        <v>0.67</v>
      </c>
      <c r="L209">
        <v>1.6</v>
      </c>
      <c r="M209" s="1">
        <f t="shared" si="16"/>
        <v>0.96046915725456128</v>
      </c>
      <c r="N209" s="1">
        <f t="shared" si="17"/>
        <v>2.4947250837780814E-2</v>
      </c>
      <c r="O209" s="1">
        <f t="shared" si="18"/>
        <v>0.9854164080923421</v>
      </c>
      <c r="P209" s="1">
        <f t="shared" si="19"/>
        <v>0.83405734144222421</v>
      </c>
      <c r="Q209">
        <v>45.03</v>
      </c>
      <c r="R209">
        <v>0</v>
      </c>
      <c r="S209">
        <v>48</v>
      </c>
      <c r="T209">
        <v>1</v>
      </c>
      <c r="U209">
        <v>2</v>
      </c>
      <c r="V209" s="1">
        <v>500</v>
      </c>
      <c r="W209">
        <v>180</v>
      </c>
      <c r="X209">
        <v>25</v>
      </c>
      <c r="Y209" s="1" t="s">
        <v>2</v>
      </c>
      <c r="Z209" s="1">
        <v>500.13</v>
      </c>
      <c r="AA209" s="1">
        <v>1.875</v>
      </c>
      <c r="AB209" s="1">
        <v>8</v>
      </c>
      <c r="AC209" s="1" t="s">
        <v>60</v>
      </c>
      <c r="AD209">
        <v>0.98899999999999999</v>
      </c>
      <c r="AE209" s="1"/>
    </row>
    <row r="210" spans="1:31">
      <c r="A210" s="1">
        <v>205</v>
      </c>
      <c r="B210" s="2" t="s">
        <v>108</v>
      </c>
      <c r="C210">
        <v>700</v>
      </c>
      <c r="D210">
        <v>2</v>
      </c>
      <c r="E210" s="1" t="s">
        <v>0</v>
      </c>
      <c r="F210">
        <v>155.81</v>
      </c>
      <c r="G210">
        <v>4.3099999999999996</v>
      </c>
      <c r="H210">
        <v>30.74</v>
      </c>
      <c r="I210">
        <v>24.58</v>
      </c>
      <c r="J210">
        <v>31.31</v>
      </c>
      <c r="K210">
        <v>0.5</v>
      </c>
      <c r="L210">
        <v>1.47</v>
      </c>
      <c r="M210" s="1">
        <f t="shared" si="16"/>
        <v>0.9553498779495524</v>
      </c>
      <c r="N210" s="1">
        <f t="shared" si="17"/>
        <v>1.7435778216901079E-2</v>
      </c>
      <c r="O210" s="1">
        <f t="shared" si="18"/>
        <v>0.97278565616645352</v>
      </c>
      <c r="P210" s="1">
        <f t="shared" si="19"/>
        <v>0.71765663140764846</v>
      </c>
      <c r="Q210">
        <v>42.14</v>
      </c>
      <c r="R210">
        <v>0</v>
      </c>
      <c r="S210">
        <v>48</v>
      </c>
      <c r="T210">
        <v>1</v>
      </c>
      <c r="U210">
        <v>2</v>
      </c>
      <c r="V210" s="1">
        <v>500</v>
      </c>
      <c r="W210">
        <v>180</v>
      </c>
      <c r="X210">
        <v>25</v>
      </c>
      <c r="Y210" s="1" t="s">
        <v>2</v>
      </c>
      <c r="Z210" s="1">
        <v>500.13</v>
      </c>
      <c r="AA210" s="1">
        <v>1.875</v>
      </c>
      <c r="AB210" s="1">
        <v>8</v>
      </c>
      <c r="AC210" s="1" t="s">
        <v>60</v>
      </c>
      <c r="AD210">
        <v>0.85699999999999998</v>
      </c>
      <c r="AE210" s="1"/>
    </row>
    <row r="211" spans="1:31">
      <c r="A211" s="1">
        <v>206</v>
      </c>
      <c r="B211" s="2" t="s">
        <v>118</v>
      </c>
      <c r="C211">
        <v>180</v>
      </c>
      <c r="D211">
        <v>24</v>
      </c>
      <c r="E211" s="1" t="s">
        <v>48</v>
      </c>
      <c r="F211">
        <v>53</v>
      </c>
      <c r="G211">
        <v>0.122</v>
      </c>
      <c r="H211">
        <v>2.56</v>
      </c>
      <c r="I211">
        <v>63.7</v>
      </c>
      <c r="J211">
        <v>28.46</v>
      </c>
      <c r="K211">
        <v>1.06</v>
      </c>
      <c r="L211">
        <v>5.89</v>
      </c>
      <c r="M211" s="1">
        <f t="shared" si="16"/>
        <v>0.33508634222919936</v>
      </c>
      <c r="N211" s="1">
        <f t="shared" si="17"/>
        <v>1.4263287732675487E-2</v>
      </c>
      <c r="O211" s="1">
        <f t="shared" si="18"/>
        <v>0.34934962996187485</v>
      </c>
      <c r="P211" s="1">
        <f t="shared" si="19"/>
        <v>1.1095761381475666</v>
      </c>
      <c r="Q211">
        <v>0.84</v>
      </c>
      <c r="R211">
        <v>0</v>
      </c>
      <c r="S211">
        <v>72</v>
      </c>
      <c r="T211">
        <v>200</v>
      </c>
      <c r="U211">
        <v>3.3</v>
      </c>
      <c r="V211" s="1">
        <v>1000</v>
      </c>
      <c r="W211">
        <v>400</v>
      </c>
      <c r="X211">
        <v>25</v>
      </c>
      <c r="Y211" s="1" t="s">
        <v>47</v>
      </c>
      <c r="Z211" s="1">
        <v>414.08</v>
      </c>
      <c r="AA211" s="1">
        <v>1.875</v>
      </c>
      <c r="AB211" s="1">
        <v>8</v>
      </c>
      <c r="AC211" s="1" t="s">
        <v>59</v>
      </c>
      <c r="AD211">
        <v>51.15</v>
      </c>
      <c r="AE211" s="1"/>
    </row>
    <row r="212" spans="1:31">
      <c r="A212" s="1">
        <v>207</v>
      </c>
      <c r="B212" s="2" t="s">
        <v>61</v>
      </c>
      <c r="C212">
        <v>900</v>
      </c>
      <c r="D212">
        <v>0.5</v>
      </c>
      <c r="E212" s="1" t="s">
        <v>3</v>
      </c>
      <c r="F212" s="1">
        <v>1241</v>
      </c>
      <c r="G212" s="1">
        <v>0.62</v>
      </c>
      <c r="H212" s="1">
        <v>1</v>
      </c>
      <c r="I212" s="1">
        <v>76.709999999999994</v>
      </c>
      <c r="J212" s="1">
        <v>19.739999999999998</v>
      </c>
      <c r="K212" s="1">
        <v>1.76</v>
      </c>
      <c r="L212" s="1">
        <v>1.24</v>
      </c>
      <c r="M212" s="1">
        <f t="shared" si="16"/>
        <v>0.19299960891669926</v>
      </c>
      <c r="N212" s="1">
        <f t="shared" si="17"/>
        <v>1.9665903123079507E-2</v>
      </c>
      <c r="O212" s="1">
        <f t="shared" si="18"/>
        <v>0.21266551203977876</v>
      </c>
      <c r="P212" s="1">
        <f t="shared" si="19"/>
        <v>0.19397731716855693</v>
      </c>
      <c r="Q212">
        <v>10.62</v>
      </c>
      <c r="R212">
        <v>0</v>
      </c>
      <c r="S212">
        <v>72</v>
      </c>
      <c r="T212">
        <v>0.2</v>
      </c>
      <c r="U212">
        <v>7</v>
      </c>
      <c r="V212" s="1">
        <v>25</v>
      </c>
      <c r="W212">
        <v>180</v>
      </c>
      <c r="X212">
        <v>25</v>
      </c>
      <c r="Y212" s="1" t="s">
        <v>2</v>
      </c>
      <c r="Z212" s="1">
        <v>500.13</v>
      </c>
      <c r="AA212" s="1">
        <v>1.875</v>
      </c>
      <c r="AB212" s="1">
        <v>8</v>
      </c>
      <c r="AC212" s="1" t="s">
        <v>60</v>
      </c>
      <c r="AD212" s="1">
        <v>7.7089999999999996</v>
      </c>
      <c r="AE212" s="1"/>
    </row>
    <row r="213" spans="1:31">
      <c r="A213" s="1">
        <v>208</v>
      </c>
      <c r="B213" s="2" t="s">
        <v>61</v>
      </c>
      <c r="C213">
        <v>900</v>
      </c>
      <c r="D213">
        <v>0.5</v>
      </c>
      <c r="E213" s="1" t="s">
        <v>3</v>
      </c>
      <c r="F213" s="1">
        <v>1241</v>
      </c>
      <c r="G213" s="1">
        <v>0.62</v>
      </c>
      <c r="H213" s="1">
        <v>1</v>
      </c>
      <c r="I213" s="1">
        <v>76.709999999999994</v>
      </c>
      <c r="J213" s="1">
        <v>19.739999999999998</v>
      </c>
      <c r="K213" s="1">
        <v>1.76</v>
      </c>
      <c r="L213" s="1">
        <v>1.24</v>
      </c>
      <c r="M213" s="1">
        <f t="shared" ref="M213:M214" si="20">(J213/16)/(I213/12)</f>
        <v>0.19299960891669926</v>
      </c>
      <c r="N213" s="1">
        <f t="shared" ref="N213:N214" si="21">(K213/14)/(I213/12)</f>
        <v>1.9665903123079507E-2</v>
      </c>
      <c r="O213" s="1">
        <f t="shared" ref="O213:O214" si="22">(J213/16+K213/14)/(I213/12)</f>
        <v>0.21266551203977876</v>
      </c>
      <c r="P213" s="1">
        <f t="shared" ref="P213:P214" si="23">(L213/1)/(I213/12)</f>
        <v>0.19397731716855693</v>
      </c>
      <c r="Q213">
        <v>10.62</v>
      </c>
      <c r="R213">
        <v>0</v>
      </c>
      <c r="S213">
        <v>72</v>
      </c>
      <c r="T213">
        <v>0.2</v>
      </c>
      <c r="U213">
        <v>7</v>
      </c>
      <c r="V213" s="1">
        <v>25</v>
      </c>
      <c r="W213">
        <v>180</v>
      </c>
      <c r="X213">
        <v>25</v>
      </c>
      <c r="Y213" s="1" t="s">
        <v>13</v>
      </c>
      <c r="Z213" s="1">
        <v>300.10000000000002</v>
      </c>
      <c r="AA213" s="1">
        <v>1.75</v>
      </c>
      <c r="AB213" s="1">
        <v>4</v>
      </c>
      <c r="AC213" s="1" t="s">
        <v>60</v>
      </c>
      <c r="AD213" s="1">
        <v>5.923</v>
      </c>
    </row>
    <row r="214" spans="1:31">
      <c r="A214" s="1">
        <v>209</v>
      </c>
      <c r="B214" s="2" t="s">
        <v>120</v>
      </c>
      <c r="C214">
        <v>700</v>
      </c>
      <c r="D214">
        <v>2</v>
      </c>
      <c r="E214" s="1" t="s">
        <v>3</v>
      </c>
      <c r="F214">
        <v>431.5</v>
      </c>
      <c r="G214">
        <v>1.58</v>
      </c>
      <c r="H214">
        <v>5.2999999999999999E-2</v>
      </c>
      <c r="I214">
        <v>37.630000000000003</v>
      </c>
      <c r="J214">
        <v>0.44</v>
      </c>
      <c r="K214">
        <v>1.83</v>
      </c>
      <c r="L214">
        <v>4.83</v>
      </c>
      <c r="M214" s="1">
        <f t="shared" si="20"/>
        <v>8.7695987244220033E-3</v>
      </c>
      <c r="N214" s="1">
        <f t="shared" si="21"/>
        <v>4.1684066664135759E-2</v>
      </c>
      <c r="O214" s="1">
        <f t="shared" si="22"/>
        <v>5.0453665388557757E-2</v>
      </c>
      <c r="P214" s="1">
        <f t="shared" si="23"/>
        <v>1.5402604305075736</v>
      </c>
      <c r="Q214">
        <f t="shared" ref="Q214:Q237" si="24">100-I214-J214-K214-L214</f>
        <v>55.27</v>
      </c>
      <c r="R214">
        <v>20.83</v>
      </c>
      <c r="S214">
        <v>24</v>
      </c>
      <c r="T214">
        <v>0.05</v>
      </c>
      <c r="U214">
        <v>7</v>
      </c>
      <c r="V214" s="1">
        <v>40</v>
      </c>
      <c r="W214">
        <v>100</v>
      </c>
      <c r="X214">
        <v>20</v>
      </c>
      <c r="Y214" s="1" t="s">
        <v>119</v>
      </c>
      <c r="Z214" s="1">
        <v>500.13</v>
      </c>
      <c r="AA214" s="1">
        <v>1.875</v>
      </c>
      <c r="AB214" s="1">
        <v>8</v>
      </c>
      <c r="AC214" s="1" t="s">
        <v>60</v>
      </c>
      <c r="AD214">
        <f>0.005*0.97/0.004</f>
        <v>1.2124999999999999</v>
      </c>
    </row>
    <row r="215" spans="1:31">
      <c r="A215" s="1">
        <v>210</v>
      </c>
      <c r="B215" s="2" t="s">
        <v>120</v>
      </c>
      <c r="C215">
        <v>700</v>
      </c>
      <c r="D215">
        <v>2</v>
      </c>
      <c r="E215" s="1" t="s">
        <v>3</v>
      </c>
      <c r="F215">
        <v>431.5</v>
      </c>
      <c r="G215">
        <v>1.58</v>
      </c>
      <c r="H215">
        <v>5.2999999999999999E-2</v>
      </c>
      <c r="I215">
        <v>37.630000000000003</v>
      </c>
      <c r="J215">
        <v>0.44</v>
      </c>
      <c r="K215">
        <v>1.83</v>
      </c>
      <c r="L215">
        <v>4.83</v>
      </c>
      <c r="M215" s="1">
        <f t="shared" ref="M215:M222" si="25">(J215/16)/(I215/12)</f>
        <v>8.7695987244220033E-3</v>
      </c>
      <c r="N215" s="1">
        <f t="shared" ref="N215:N222" si="26">(K215/14)/(I215/12)</f>
        <v>4.1684066664135759E-2</v>
      </c>
      <c r="O215" s="1">
        <f t="shared" ref="O215:O222" si="27">(J215/16+K215/14)/(I215/12)</f>
        <v>5.0453665388557757E-2</v>
      </c>
      <c r="P215" s="1">
        <f t="shared" ref="P215:P222" si="28">(L215/1)/(I215/12)</f>
        <v>1.5402604305075736</v>
      </c>
      <c r="Q215">
        <f t="shared" si="24"/>
        <v>55.27</v>
      </c>
      <c r="R215">
        <v>20.83</v>
      </c>
      <c r="S215">
        <v>24</v>
      </c>
      <c r="T215">
        <v>0.05</v>
      </c>
      <c r="U215">
        <v>7</v>
      </c>
      <c r="V215" s="1">
        <v>40</v>
      </c>
      <c r="W215">
        <v>100</v>
      </c>
      <c r="X215">
        <v>20</v>
      </c>
      <c r="Y215" s="1" t="s">
        <v>9</v>
      </c>
      <c r="Z215" s="1">
        <v>400.1</v>
      </c>
      <c r="AA215" s="1">
        <v>1.833</v>
      </c>
      <c r="AB215" s="1">
        <v>6</v>
      </c>
      <c r="AC215" s="1" t="s">
        <v>60</v>
      </c>
      <c r="AD215">
        <f>0.005*0.56/0.004</f>
        <v>0.70000000000000007</v>
      </c>
    </row>
    <row r="216" spans="1:31">
      <c r="A216" s="1">
        <v>211</v>
      </c>
      <c r="B216" s="2" t="s">
        <v>120</v>
      </c>
      <c r="C216">
        <v>700</v>
      </c>
      <c r="D216">
        <v>2</v>
      </c>
      <c r="E216" s="1" t="s">
        <v>3</v>
      </c>
      <c r="F216">
        <v>431.5</v>
      </c>
      <c r="G216">
        <v>1.58</v>
      </c>
      <c r="H216">
        <v>5.2999999999999999E-2</v>
      </c>
      <c r="I216">
        <v>37.630000000000003</v>
      </c>
      <c r="J216">
        <v>0.44</v>
      </c>
      <c r="K216">
        <v>1.83</v>
      </c>
      <c r="L216">
        <v>4.83</v>
      </c>
      <c r="M216" s="1">
        <f t="shared" si="25"/>
        <v>8.7695987244220033E-3</v>
      </c>
      <c r="N216" s="1">
        <f t="shared" si="26"/>
        <v>4.1684066664135759E-2</v>
      </c>
      <c r="O216" s="1">
        <f t="shared" si="27"/>
        <v>5.0453665388557757E-2</v>
      </c>
      <c r="P216" s="1">
        <f t="shared" si="28"/>
        <v>1.5402604305075736</v>
      </c>
      <c r="Q216">
        <f t="shared" si="24"/>
        <v>55.27</v>
      </c>
      <c r="R216">
        <v>20.83</v>
      </c>
      <c r="S216">
        <v>24</v>
      </c>
      <c r="T216">
        <v>0.05</v>
      </c>
      <c r="U216">
        <v>7</v>
      </c>
      <c r="V216" s="1">
        <v>40</v>
      </c>
      <c r="W216">
        <v>100</v>
      </c>
      <c r="X216">
        <v>20</v>
      </c>
      <c r="Y216" s="1" t="s">
        <v>13</v>
      </c>
      <c r="Z216" s="1">
        <v>300.10000000000002</v>
      </c>
      <c r="AA216" s="1">
        <v>1.75</v>
      </c>
      <c r="AB216" s="1">
        <v>4</v>
      </c>
      <c r="AC216" s="1" t="s">
        <v>60</v>
      </c>
      <c r="AD216">
        <f>0.005*0.24/0.004</f>
        <v>0.3</v>
      </c>
    </row>
    <row r="217" spans="1:31">
      <c r="A217" s="1">
        <v>212</v>
      </c>
      <c r="B217" s="2" t="s">
        <v>120</v>
      </c>
      <c r="C217">
        <v>700</v>
      </c>
      <c r="D217">
        <v>2</v>
      </c>
      <c r="E217" s="1" t="s">
        <v>3</v>
      </c>
      <c r="F217">
        <v>431.5</v>
      </c>
      <c r="G217">
        <v>1.58</v>
      </c>
      <c r="H217">
        <v>5.2999999999999999E-2</v>
      </c>
      <c r="I217">
        <v>37.630000000000003</v>
      </c>
      <c r="J217">
        <v>0.44</v>
      </c>
      <c r="K217">
        <v>1.83</v>
      </c>
      <c r="L217">
        <v>4.83</v>
      </c>
      <c r="M217" s="1">
        <f t="shared" si="25"/>
        <v>8.7695987244220033E-3</v>
      </c>
      <c r="N217" s="1">
        <f t="shared" si="26"/>
        <v>4.1684066664135759E-2</v>
      </c>
      <c r="O217" s="1">
        <f t="shared" si="27"/>
        <v>5.0453665388557757E-2</v>
      </c>
      <c r="P217" s="1">
        <f t="shared" si="28"/>
        <v>1.5402604305075736</v>
      </c>
      <c r="Q217">
        <f t="shared" si="24"/>
        <v>55.27</v>
      </c>
      <c r="R217">
        <v>20.83</v>
      </c>
      <c r="S217">
        <v>24</v>
      </c>
      <c r="T217">
        <v>0.05</v>
      </c>
      <c r="U217">
        <v>7</v>
      </c>
      <c r="V217" s="1">
        <v>40</v>
      </c>
      <c r="W217">
        <v>100</v>
      </c>
      <c r="X217">
        <v>20</v>
      </c>
      <c r="Y217" s="1" t="s">
        <v>17</v>
      </c>
      <c r="Z217" s="1">
        <v>464.1</v>
      </c>
      <c r="AA217" s="1">
        <v>1.889</v>
      </c>
      <c r="AB217" s="1">
        <v>9</v>
      </c>
      <c r="AC217" s="1" t="s">
        <v>59</v>
      </c>
      <c r="AD217">
        <f>0.005*0.88/0.004</f>
        <v>1.1000000000000001</v>
      </c>
    </row>
    <row r="218" spans="1:31">
      <c r="A218" s="1">
        <v>213</v>
      </c>
      <c r="B218" s="2" t="s">
        <v>120</v>
      </c>
      <c r="C218">
        <v>700</v>
      </c>
      <c r="D218">
        <v>2</v>
      </c>
      <c r="E218" s="1" t="s">
        <v>3</v>
      </c>
      <c r="F218">
        <v>431.5</v>
      </c>
      <c r="G218">
        <v>1.58</v>
      </c>
      <c r="H218">
        <v>5.2999999999999999E-2</v>
      </c>
      <c r="I218">
        <v>37.630000000000003</v>
      </c>
      <c r="J218">
        <v>0.44</v>
      </c>
      <c r="K218">
        <v>1.83</v>
      </c>
      <c r="L218">
        <v>4.83</v>
      </c>
      <c r="M218" s="1">
        <f t="shared" si="25"/>
        <v>8.7695987244220033E-3</v>
      </c>
      <c r="N218" s="1">
        <f t="shared" si="26"/>
        <v>4.1684066664135759E-2</v>
      </c>
      <c r="O218" s="1">
        <f t="shared" si="27"/>
        <v>5.0453665388557757E-2</v>
      </c>
      <c r="P218" s="1">
        <f t="shared" si="28"/>
        <v>1.5402604305075736</v>
      </c>
      <c r="Q218">
        <f t="shared" si="24"/>
        <v>55.27</v>
      </c>
      <c r="R218">
        <v>20.83</v>
      </c>
      <c r="S218">
        <v>24</v>
      </c>
      <c r="T218">
        <v>0.05</v>
      </c>
      <c r="U218">
        <v>7</v>
      </c>
      <c r="V218" s="1">
        <v>40</v>
      </c>
      <c r="W218">
        <v>100</v>
      </c>
      <c r="X218">
        <v>20</v>
      </c>
      <c r="Y218" s="1" t="s">
        <v>1</v>
      </c>
      <c r="Z218" s="1">
        <v>414.08</v>
      </c>
      <c r="AA218" s="1">
        <v>1.875</v>
      </c>
      <c r="AB218" s="1">
        <v>8</v>
      </c>
      <c r="AC218" s="1" t="s">
        <v>59</v>
      </c>
      <c r="AD218">
        <f>0.005*0.58/0.004</f>
        <v>0.72499999999999998</v>
      </c>
    </row>
    <row r="219" spans="1:31">
      <c r="A219" s="1">
        <v>214</v>
      </c>
      <c r="B219" s="2" t="s">
        <v>120</v>
      </c>
      <c r="C219">
        <v>700</v>
      </c>
      <c r="D219">
        <v>2</v>
      </c>
      <c r="E219" s="1" t="s">
        <v>3</v>
      </c>
      <c r="F219">
        <v>431.5</v>
      </c>
      <c r="G219">
        <v>1.58</v>
      </c>
      <c r="H219">
        <v>5.2999999999999999E-2</v>
      </c>
      <c r="I219">
        <v>37.630000000000003</v>
      </c>
      <c r="J219">
        <v>0.44</v>
      </c>
      <c r="K219">
        <v>1.83</v>
      </c>
      <c r="L219">
        <v>4.83</v>
      </c>
      <c r="M219" s="1">
        <f t="shared" si="25"/>
        <v>8.7695987244220033E-3</v>
      </c>
      <c r="N219" s="1">
        <f t="shared" si="26"/>
        <v>4.1684066664135759E-2</v>
      </c>
      <c r="O219" s="1">
        <f t="shared" si="27"/>
        <v>5.0453665388557757E-2</v>
      </c>
      <c r="P219" s="1">
        <f t="shared" si="28"/>
        <v>1.5402604305075736</v>
      </c>
      <c r="Q219">
        <f t="shared" si="24"/>
        <v>55.27</v>
      </c>
      <c r="R219">
        <v>20.83</v>
      </c>
      <c r="S219">
        <v>24</v>
      </c>
      <c r="T219">
        <v>0.05</v>
      </c>
      <c r="U219">
        <v>7</v>
      </c>
      <c r="V219" s="1">
        <v>40</v>
      </c>
      <c r="W219">
        <v>100</v>
      </c>
      <c r="X219">
        <v>20</v>
      </c>
      <c r="Y219" s="1" t="s">
        <v>49</v>
      </c>
      <c r="Z219" s="1">
        <v>364.06</v>
      </c>
      <c r="AA219" s="1">
        <v>1.857</v>
      </c>
      <c r="AB219" s="1">
        <v>7</v>
      </c>
      <c r="AC219" s="1" t="s">
        <v>59</v>
      </c>
      <c r="AD219">
        <f>0.005*0.38/0.004</f>
        <v>0.47499999999999998</v>
      </c>
    </row>
    <row r="220" spans="1:31">
      <c r="A220" s="1">
        <v>215</v>
      </c>
      <c r="B220" s="2" t="s">
        <v>120</v>
      </c>
      <c r="C220">
        <v>700</v>
      </c>
      <c r="D220">
        <v>2</v>
      </c>
      <c r="E220" s="1" t="s">
        <v>3</v>
      </c>
      <c r="F220">
        <v>431.5</v>
      </c>
      <c r="G220">
        <v>1.58</v>
      </c>
      <c r="H220">
        <v>5.2999999999999999E-2</v>
      </c>
      <c r="I220">
        <v>37.630000000000003</v>
      </c>
      <c r="J220">
        <v>0.44</v>
      </c>
      <c r="K220">
        <v>1.83</v>
      </c>
      <c r="L220">
        <v>4.83</v>
      </c>
      <c r="M220" s="1">
        <f t="shared" si="25"/>
        <v>8.7695987244220033E-3</v>
      </c>
      <c r="N220" s="1">
        <f t="shared" si="26"/>
        <v>4.1684066664135759E-2</v>
      </c>
      <c r="O220" s="1">
        <f t="shared" si="27"/>
        <v>5.0453665388557757E-2</v>
      </c>
      <c r="P220" s="1">
        <f t="shared" si="28"/>
        <v>1.5402604305075736</v>
      </c>
      <c r="Q220">
        <f t="shared" si="24"/>
        <v>55.27</v>
      </c>
      <c r="R220">
        <v>20.83</v>
      </c>
      <c r="S220">
        <v>24</v>
      </c>
      <c r="T220">
        <v>0.05</v>
      </c>
      <c r="U220">
        <v>7</v>
      </c>
      <c r="V220" s="1">
        <v>40</v>
      </c>
      <c r="W220">
        <v>100</v>
      </c>
      <c r="X220">
        <v>20</v>
      </c>
      <c r="Y220" s="1" t="s">
        <v>14</v>
      </c>
      <c r="Z220" s="1">
        <v>314.05399999999997</v>
      </c>
      <c r="AA220" s="1">
        <v>1.833</v>
      </c>
      <c r="AB220" s="1">
        <v>6</v>
      </c>
      <c r="AC220" s="1" t="s">
        <v>59</v>
      </c>
      <c r="AD220">
        <f>0.005*0.24/0.004</f>
        <v>0.3</v>
      </c>
    </row>
    <row r="221" spans="1:31">
      <c r="A221" s="1">
        <v>216</v>
      </c>
      <c r="B221" s="2" t="s">
        <v>120</v>
      </c>
      <c r="C221">
        <v>700</v>
      </c>
      <c r="D221">
        <v>2</v>
      </c>
      <c r="E221" s="1" t="s">
        <v>3</v>
      </c>
      <c r="F221">
        <v>431.5</v>
      </c>
      <c r="G221">
        <v>1.58</v>
      </c>
      <c r="H221">
        <v>5.2999999999999999E-2</v>
      </c>
      <c r="I221">
        <v>37.630000000000003</v>
      </c>
      <c r="J221">
        <v>0.44</v>
      </c>
      <c r="K221">
        <v>1.83</v>
      </c>
      <c r="L221">
        <v>4.83</v>
      </c>
      <c r="M221" s="1">
        <f t="shared" si="25"/>
        <v>8.7695987244220033E-3</v>
      </c>
      <c r="N221" s="1">
        <f t="shared" si="26"/>
        <v>4.1684066664135759E-2</v>
      </c>
      <c r="O221" s="1">
        <f t="shared" si="27"/>
        <v>5.0453665388557757E-2</v>
      </c>
      <c r="P221" s="1">
        <f t="shared" si="28"/>
        <v>1.5402604305075736</v>
      </c>
      <c r="Q221">
        <f t="shared" si="24"/>
        <v>55.27</v>
      </c>
      <c r="R221">
        <v>20.83</v>
      </c>
      <c r="S221">
        <v>24</v>
      </c>
      <c r="T221">
        <v>0.05</v>
      </c>
      <c r="U221">
        <v>7</v>
      </c>
      <c r="V221" s="1">
        <v>40</v>
      </c>
      <c r="W221">
        <v>100</v>
      </c>
      <c r="X221">
        <v>20</v>
      </c>
      <c r="Y221" s="1" t="s">
        <v>22</v>
      </c>
      <c r="Z221" s="1">
        <v>264.05</v>
      </c>
      <c r="AA221" s="1">
        <v>1.8</v>
      </c>
      <c r="AB221" s="1">
        <v>5</v>
      </c>
      <c r="AC221" s="1" t="s">
        <v>59</v>
      </c>
      <c r="AD221">
        <f>0.005*0.15/0.004</f>
        <v>0.1875</v>
      </c>
    </row>
    <row r="222" spans="1:31">
      <c r="A222" s="1">
        <v>217</v>
      </c>
      <c r="B222" s="2" t="s">
        <v>120</v>
      </c>
      <c r="C222">
        <v>500</v>
      </c>
      <c r="D222">
        <v>2</v>
      </c>
      <c r="E222" s="1" t="s">
        <v>3</v>
      </c>
      <c r="F222">
        <v>2.77</v>
      </c>
      <c r="G222">
        <v>1.9E-2</v>
      </c>
      <c r="H222">
        <v>21.82</v>
      </c>
      <c r="I222">
        <v>27.42</v>
      </c>
      <c r="J222">
        <v>8.8800000000000008</v>
      </c>
      <c r="K222">
        <v>3.64</v>
      </c>
      <c r="L222">
        <v>0.56000000000000005</v>
      </c>
      <c r="M222" s="1">
        <f t="shared" si="25"/>
        <v>0.24288840262582057</v>
      </c>
      <c r="N222" s="1">
        <f t="shared" si="26"/>
        <v>0.1137855579868709</v>
      </c>
      <c r="O222" s="1">
        <f t="shared" si="27"/>
        <v>0.35667396061269147</v>
      </c>
      <c r="P222" s="1">
        <f t="shared" si="28"/>
        <v>0.24507658643326041</v>
      </c>
      <c r="Q222">
        <f t="shared" si="24"/>
        <v>59.499999999999993</v>
      </c>
      <c r="R222">
        <v>20.190000000000001</v>
      </c>
      <c r="S222">
        <v>24</v>
      </c>
      <c r="T222">
        <v>0.05</v>
      </c>
      <c r="U222">
        <v>7</v>
      </c>
      <c r="V222" s="1">
        <v>40</v>
      </c>
      <c r="W222">
        <v>100</v>
      </c>
      <c r="X222">
        <v>20</v>
      </c>
      <c r="Y222" s="1" t="s">
        <v>119</v>
      </c>
      <c r="Z222" s="1">
        <v>500.13</v>
      </c>
      <c r="AA222" s="1">
        <v>1.875</v>
      </c>
      <c r="AB222" s="1">
        <v>8</v>
      </c>
      <c r="AC222" s="1" t="s">
        <v>60</v>
      </c>
      <c r="AD222">
        <f>0.005*0.96/0.004</f>
        <v>1.2</v>
      </c>
    </row>
    <row r="223" spans="1:31">
      <c r="A223" s="1">
        <v>218</v>
      </c>
      <c r="B223" s="2" t="s">
        <v>120</v>
      </c>
      <c r="C223">
        <v>500</v>
      </c>
      <c r="D223">
        <v>2</v>
      </c>
      <c r="E223" s="1" t="s">
        <v>3</v>
      </c>
      <c r="F223">
        <v>2.77</v>
      </c>
      <c r="G223">
        <v>1.9E-2</v>
      </c>
      <c r="H223">
        <v>21.82</v>
      </c>
      <c r="I223">
        <v>27.42</v>
      </c>
      <c r="J223">
        <v>8.8800000000000008</v>
      </c>
      <c r="K223">
        <v>3.64</v>
      </c>
      <c r="L223">
        <v>0.56000000000000005</v>
      </c>
      <c r="M223" s="1">
        <f t="shared" ref="M223:M230" si="29">(J223/16)/(I223/12)</f>
        <v>0.24288840262582057</v>
      </c>
      <c r="N223" s="1">
        <f t="shared" ref="N223:N230" si="30">(K223/14)/(I223/12)</f>
        <v>0.1137855579868709</v>
      </c>
      <c r="O223" s="1">
        <f t="shared" ref="O223:O230" si="31">(J223/16+K223/14)/(I223/12)</f>
        <v>0.35667396061269147</v>
      </c>
      <c r="P223" s="1">
        <f t="shared" ref="P223:P230" si="32">(L223/1)/(I223/12)</f>
        <v>0.24507658643326041</v>
      </c>
      <c r="Q223">
        <f t="shared" si="24"/>
        <v>59.499999999999993</v>
      </c>
      <c r="R223">
        <v>20.190000000000001</v>
      </c>
      <c r="S223">
        <v>24</v>
      </c>
      <c r="T223">
        <v>0.05</v>
      </c>
      <c r="U223">
        <v>7</v>
      </c>
      <c r="V223" s="1">
        <v>40</v>
      </c>
      <c r="W223">
        <v>100</v>
      </c>
      <c r="X223">
        <v>20</v>
      </c>
      <c r="Y223" s="1" t="s">
        <v>9</v>
      </c>
      <c r="Z223" s="1">
        <v>400.1</v>
      </c>
      <c r="AA223" s="1">
        <v>1.833</v>
      </c>
      <c r="AB223" s="1">
        <v>6</v>
      </c>
      <c r="AC223" s="1" t="s">
        <v>60</v>
      </c>
      <c r="AD223">
        <f>0.005*0.22/0.004</f>
        <v>0.27500000000000002</v>
      </c>
    </row>
    <row r="224" spans="1:31">
      <c r="A224" s="1">
        <v>219</v>
      </c>
      <c r="B224" s="2" t="s">
        <v>120</v>
      </c>
      <c r="C224">
        <v>500</v>
      </c>
      <c r="D224">
        <v>2</v>
      </c>
      <c r="E224" s="1" t="s">
        <v>3</v>
      </c>
      <c r="F224">
        <v>2.77</v>
      </c>
      <c r="G224">
        <v>1.9E-2</v>
      </c>
      <c r="H224">
        <v>21.82</v>
      </c>
      <c r="I224">
        <v>27.42</v>
      </c>
      <c r="J224">
        <v>8.8800000000000008</v>
      </c>
      <c r="K224">
        <v>3.64</v>
      </c>
      <c r="L224">
        <v>0.56000000000000005</v>
      </c>
      <c r="M224" s="1">
        <f t="shared" si="29"/>
        <v>0.24288840262582057</v>
      </c>
      <c r="N224" s="1">
        <f t="shared" si="30"/>
        <v>0.1137855579868709</v>
      </c>
      <c r="O224" s="1">
        <f t="shared" si="31"/>
        <v>0.35667396061269147</v>
      </c>
      <c r="P224" s="1">
        <f t="shared" si="32"/>
        <v>0.24507658643326041</v>
      </c>
      <c r="Q224">
        <f t="shared" si="24"/>
        <v>59.499999999999993</v>
      </c>
      <c r="R224">
        <v>20.190000000000001</v>
      </c>
      <c r="S224">
        <v>24</v>
      </c>
      <c r="T224">
        <v>0.05</v>
      </c>
      <c r="U224">
        <v>7</v>
      </c>
      <c r="V224" s="1">
        <v>40</v>
      </c>
      <c r="W224">
        <v>100</v>
      </c>
      <c r="X224">
        <v>20</v>
      </c>
      <c r="Y224" s="1" t="s">
        <v>13</v>
      </c>
      <c r="Z224" s="1">
        <v>300.10000000000002</v>
      </c>
      <c r="AA224" s="1">
        <v>1.75</v>
      </c>
      <c r="AB224" s="1">
        <v>4</v>
      </c>
      <c r="AC224" s="1" t="s">
        <v>60</v>
      </c>
      <c r="AD224">
        <f>0.005*0.04/0.004</f>
        <v>0.05</v>
      </c>
    </row>
    <row r="225" spans="1:30">
      <c r="A225" s="1">
        <v>220</v>
      </c>
      <c r="B225" s="2" t="s">
        <v>120</v>
      </c>
      <c r="C225">
        <v>500</v>
      </c>
      <c r="D225">
        <v>2</v>
      </c>
      <c r="E225" s="1" t="s">
        <v>3</v>
      </c>
      <c r="F225">
        <v>2.77</v>
      </c>
      <c r="G225">
        <v>1.9E-2</v>
      </c>
      <c r="H225">
        <v>21.82</v>
      </c>
      <c r="I225">
        <v>27.42</v>
      </c>
      <c r="J225">
        <v>8.8800000000000008</v>
      </c>
      <c r="K225">
        <v>3.64</v>
      </c>
      <c r="L225">
        <v>0.56000000000000005</v>
      </c>
      <c r="M225" s="1">
        <f t="shared" si="29"/>
        <v>0.24288840262582057</v>
      </c>
      <c r="N225" s="1">
        <f t="shared" si="30"/>
        <v>0.1137855579868709</v>
      </c>
      <c r="O225" s="1">
        <f t="shared" si="31"/>
        <v>0.35667396061269147</v>
      </c>
      <c r="P225" s="1">
        <f t="shared" si="32"/>
        <v>0.24507658643326041</v>
      </c>
      <c r="Q225">
        <f t="shared" si="24"/>
        <v>59.499999999999993</v>
      </c>
      <c r="R225">
        <v>20.190000000000001</v>
      </c>
      <c r="S225">
        <v>24</v>
      </c>
      <c r="T225">
        <v>0.05</v>
      </c>
      <c r="U225">
        <v>7</v>
      </c>
      <c r="V225" s="1">
        <v>40</v>
      </c>
      <c r="W225">
        <v>100</v>
      </c>
      <c r="X225">
        <v>20</v>
      </c>
      <c r="Y225" s="1" t="s">
        <v>17</v>
      </c>
      <c r="Z225" s="1">
        <v>464.1</v>
      </c>
      <c r="AA225" s="1">
        <v>1.889</v>
      </c>
      <c r="AB225" s="1">
        <v>9</v>
      </c>
      <c r="AC225" s="1" t="s">
        <v>59</v>
      </c>
      <c r="AD225">
        <f>0.005*0.86/0.004</f>
        <v>1.075</v>
      </c>
    </row>
    <row r="226" spans="1:30">
      <c r="A226" s="1">
        <v>221</v>
      </c>
      <c r="B226" s="2" t="s">
        <v>120</v>
      </c>
      <c r="C226">
        <v>500</v>
      </c>
      <c r="D226">
        <v>2</v>
      </c>
      <c r="E226" s="1" t="s">
        <v>3</v>
      </c>
      <c r="F226">
        <v>2.77</v>
      </c>
      <c r="G226">
        <v>1.9E-2</v>
      </c>
      <c r="H226">
        <v>21.82</v>
      </c>
      <c r="I226">
        <v>27.42</v>
      </c>
      <c r="J226">
        <v>8.8800000000000008</v>
      </c>
      <c r="K226">
        <v>3.64</v>
      </c>
      <c r="L226">
        <v>0.56000000000000005</v>
      </c>
      <c r="M226" s="1">
        <f t="shared" si="29"/>
        <v>0.24288840262582057</v>
      </c>
      <c r="N226" s="1">
        <f t="shared" si="30"/>
        <v>0.1137855579868709</v>
      </c>
      <c r="O226" s="1">
        <f t="shared" si="31"/>
        <v>0.35667396061269147</v>
      </c>
      <c r="P226" s="1">
        <f t="shared" si="32"/>
        <v>0.24507658643326041</v>
      </c>
      <c r="Q226">
        <f t="shared" si="24"/>
        <v>59.499999999999993</v>
      </c>
      <c r="R226">
        <v>20.190000000000001</v>
      </c>
      <c r="S226">
        <v>24</v>
      </c>
      <c r="T226">
        <v>0.05</v>
      </c>
      <c r="U226">
        <v>7</v>
      </c>
      <c r="V226" s="1">
        <v>40</v>
      </c>
      <c r="W226">
        <v>100</v>
      </c>
      <c r="X226">
        <v>20</v>
      </c>
      <c r="Y226" s="1" t="s">
        <v>1</v>
      </c>
      <c r="Z226" s="1">
        <v>414.08</v>
      </c>
      <c r="AA226" s="1">
        <v>1.875</v>
      </c>
      <c r="AB226" s="1">
        <v>8</v>
      </c>
      <c r="AC226" s="1" t="s">
        <v>59</v>
      </c>
      <c r="AD226">
        <f>0.005*0.38/0.004</f>
        <v>0.47499999999999998</v>
      </c>
    </row>
    <row r="227" spans="1:30">
      <c r="A227" s="1">
        <v>222</v>
      </c>
      <c r="B227" s="2" t="s">
        <v>120</v>
      </c>
      <c r="C227">
        <v>500</v>
      </c>
      <c r="D227">
        <v>2</v>
      </c>
      <c r="E227" s="1" t="s">
        <v>3</v>
      </c>
      <c r="F227">
        <v>2.77</v>
      </c>
      <c r="G227">
        <v>1.9E-2</v>
      </c>
      <c r="H227">
        <v>21.82</v>
      </c>
      <c r="I227">
        <v>27.42</v>
      </c>
      <c r="J227">
        <v>8.8800000000000008</v>
      </c>
      <c r="K227">
        <v>3.64</v>
      </c>
      <c r="L227">
        <v>0.56000000000000005</v>
      </c>
      <c r="M227" s="1">
        <f t="shared" si="29"/>
        <v>0.24288840262582057</v>
      </c>
      <c r="N227" s="1">
        <f t="shared" si="30"/>
        <v>0.1137855579868709</v>
      </c>
      <c r="O227" s="1">
        <f t="shared" si="31"/>
        <v>0.35667396061269147</v>
      </c>
      <c r="P227" s="1">
        <f t="shared" si="32"/>
        <v>0.24507658643326041</v>
      </c>
      <c r="Q227">
        <f t="shared" si="24"/>
        <v>59.499999999999993</v>
      </c>
      <c r="R227">
        <v>20.190000000000001</v>
      </c>
      <c r="S227">
        <v>24</v>
      </c>
      <c r="T227">
        <v>0.05</v>
      </c>
      <c r="U227">
        <v>7</v>
      </c>
      <c r="V227" s="1">
        <v>40</v>
      </c>
      <c r="W227">
        <v>100</v>
      </c>
      <c r="X227">
        <v>20</v>
      </c>
      <c r="Y227" s="1" t="s">
        <v>49</v>
      </c>
      <c r="Z227" s="1">
        <v>364.06</v>
      </c>
      <c r="AA227" s="1">
        <v>1.857</v>
      </c>
      <c r="AB227" s="1">
        <v>7</v>
      </c>
      <c r="AC227" s="1" t="s">
        <v>59</v>
      </c>
      <c r="AD227">
        <f>0.005*0.04/0.004</f>
        <v>0.05</v>
      </c>
    </row>
    <row r="228" spans="1:30">
      <c r="A228" s="1">
        <v>223</v>
      </c>
      <c r="B228" s="2" t="s">
        <v>120</v>
      </c>
      <c r="C228">
        <v>500</v>
      </c>
      <c r="D228">
        <v>2</v>
      </c>
      <c r="E228" s="1" t="s">
        <v>3</v>
      </c>
      <c r="F228">
        <v>2.77</v>
      </c>
      <c r="G228">
        <v>1.9E-2</v>
      </c>
      <c r="H228">
        <v>21.82</v>
      </c>
      <c r="I228">
        <v>27.42</v>
      </c>
      <c r="J228">
        <v>8.8800000000000008</v>
      </c>
      <c r="K228">
        <v>3.64</v>
      </c>
      <c r="L228">
        <v>0.56000000000000005</v>
      </c>
      <c r="M228" s="1">
        <f t="shared" si="29"/>
        <v>0.24288840262582057</v>
      </c>
      <c r="N228" s="1">
        <f t="shared" si="30"/>
        <v>0.1137855579868709</v>
      </c>
      <c r="O228" s="1">
        <f t="shared" si="31"/>
        <v>0.35667396061269147</v>
      </c>
      <c r="P228" s="1">
        <f t="shared" si="32"/>
        <v>0.24507658643326041</v>
      </c>
      <c r="Q228">
        <f t="shared" si="24"/>
        <v>59.499999999999993</v>
      </c>
      <c r="R228">
        <v>20.190000000000001</v>
      </c>
      <c r="S228">
        <v>24</v>
      </c>
      <c r="T228">
        <v>0.05</v>
      </c>
      <c r="U228">
        <v>7</v>
      </c>
      <c r="V228" s="1">
        <v>40</v>
      </c>
      <c r="W228">
        <v>100</v>
      </c>
      <c r="X228">
        <v>20</v>
      </c>
      <c r="Y228" s="1" t="s">
        <v>14</v>
      </c>
      <c r="Z228" s="1">
        <v>314.05399999999997</v>
      </c>
      <c r="AA228" s="1">
        <v>1.833</v>
      </c>
      <c r="AB228" s="1">
        <v>6</v>
      </c>
      <c r="AC228" s="1" t="s">
        <v>59</v>
      </c>
      <c r="AD228">
        <f>0.005*0.05/0.004</f>
        <v>6.25E-2</v>
      </c>
    </row>
    <row r="229" spans="1:30">
      <c r="A229" s="1">
        <v>224</v>
      </c>
      <c r="B229" s="2" t="s">
        <v>120</v>
      </c>
      <c r="C229">
        <v>500</v>
      </c>
      <c r="D229">
        <v>2</v>
      </c>
      <c r="E229" s="1" t="s">
        <v>3</v>
      </c>
      <c r="F229">
        <v>2.77</v>
      </c>
      <c r="G229">
        <v>1.9E-2</v>
      </c>
      <c r="H229">
        <v>21.82</v>
      </c>
      <c r="I229">
        <v>27.42</v>
      </c>
      <c r="J229">
        <v>8.8800000000000008</v>
      </c>
      <c r="K229">
        <v>3.64</v>
      </c>
      <c r="L229">
        <v>0.56000000000000005</v>
      </c>
      <c r="M229" s="1">
        <f t="shared" si="29"/>
        <v>0.24288840262582057</v>
      </c>
      <c r="N229" s="1">
        <f t="shared" si="30"/>
        <v>0.1137855579868709</v>
      </c>
      <c r="O229" s="1">
        <f t="shared" si="31"/>
        <v>0.35667396061269147</v>
      </c>
      <c r="P229" s="1">
        <f t="shared" si="32"/>
        <v>0.24507658643326041</v>
      </c>
      <c r="Q229">
        <f t="shared" si="24"/>
        <v>59.499999999999993</v>
      </c>
      <c r="R229">
        <v>20.190000000000001</v>
      </c>
      <c r="S229">
        <v>24</v>
      </c>
      <c r="T229">
        <v>0.05</v>
      </c>
      <c r="U229">
        <v>7</v>
      </c>
      <c r="V229" s="1">
        <v>40</v>
      </c>
      <c r="W229">
        <v>100</v>
      </c>
      <c r="X229">
        <v>20</v>
      </c>
      <c r="Y229" s="1" t="s">
        <v>22</v>
      </c>
      <c r="Z229" s="1">
        <v>264.05</v>
      </c>
      <c r="AA229" s="1">
        <v>1.8</v>
      </c>
      <c r="AB229" s="1">
        <v>5</v>
      </c>
      <c r="AC229" s="1" t="s">
        <v>59</v>
      </c>
      <c r="AD229">
        <f>0.005*0.05/0.004</f>
        <v>6.25E-2</v>
      </c>
    </row>
    <row r="230" spans="1:30">
      <c r="A230" s="1">
        <v>225</v>
      </c>
      <c r="B230" s="2" t="s">
        <v>120</v>
      </c>
      <c r="C230">
        <v>500</v>
      </c>
      <c r="D230">
        <v>2</v>
      </c>
      <c r="E230" s="1" t="s">
        <v>0</v>
      </c>
      <c r="F230">
        <v>0.29899999999999999</v>
      </c>
      <c r="G230">
        <v>1.6E-2</v>
      </c>
      <c r="H230">
        <v>59.48</v>
      </c>
      <c r="I230">
        <v>69.09</v>
      </c>
      <c r="J230">
        <v>18.95</v>
      </c>
      <c r="K230">
        <v>0.82</v>
      </c>
      <c r="L230">
        <v>3.63</v>
      </c>
      <c r="M230" s="1">
        <f t="shared" si="29"/>
        <v>0.20570994355188882</v>
      </c>
      <c r="N230" s="1">
        <f t="shared" si="30"/>
        <v>1.0173066186961106E-2</v>
      </c>
      <c r="O230" s="1">
        <f t="shared" si="31"/>
        <v>0.21588300973884991</v>
      </c>
      <c r="P230" s="1">
        <f t="shared" si="32"/>
        <v>0.63048198002605293</v>
      </c>
      <c r="Q230">
        <f t="shared" si="24"/>
        <v>7.5099999999999971</v>
      </c>
      <c r="R230">
        <v>0</v>
      </c>
      <c r="S230">
        <v>24</v>
      </c>
      <c r="T230">
        <v>0.05</v>
      </c>
      <c r="U230">
        <v>7</v>
      </c>
      <c r="V230" s="1">
        <v>40</v>
      </c>
      <c r="W230">
        <v>100</v>
      </c>
      <c r="X230">
        <v>20</v>
      </c>
      <c r="Y230" s="1" t="s">
        <v>2</v>
      </c>
      <c r="Z230" s="1">
        <v>500.13</v>
      </c>
      <c r="AA230" s="1">
        <v>1.875</v>
      </c>
      <c r="AB230" s="1">
        <v>8</v>
      </c>
      <c r="AC230" s="1" t="s">
        <v>60</v>
      </c>
      <c r="AD230">
        <f>0.005*0.76/0.004</f>
        <v>0.95</v>
      </c>
    </row>
    <row r="231" spans="1:30">
      <c r="A231" s="1">
        <v>226</v>
      </c>
      <c r="B231" s="2" t="s">
        <v>120</v>
      </c>
      <c r="C231">
        <v>500</v>
      </c>
      <c r="D231">
        <v>2</v>
      </c>
      <c r="E231" s="1" t="s">
        <v>0</v>
      </c>
      <c r="F231">
        <v>0.29899999999999999</v>
      </c>
      <c r="G231">
        <v>1.6E-2</v>
      </c>
      <c r="H231">
        <v>59.48</v>
      </c>
      <c r="I231">
        <v>69.09</v>
      </c>
      <c r="J231">
        <v>18.95</v>
      </c>
      <c r="K231">
        <v>0.82</v>
      </c>
      <c r="L231">
        <v>3.63</v>
      </c>
      <c r="M231" s="1">
        <f t="shared" ref="M231:M237" si="33">(J231/16)/(I231/12)</f>
        <v>0.20570994355188882</v>
      </c>
      <c r="N231" s="1">
        <f t="shared" ref="N231:N237" si="34">(K231/14)/(I231/12)</f>
        <v>1.0173066186961106E-2</v>
      </c>
      <c r="O231" s="1">
        <f t="shared" ref="O231:O237" si="35">(J231/16+K231/14)/(I231/12)</f>
        <v>0.21588300973884991</v>
      </c>
      <c r="P231" s="1">
        <f t="shared" ref="P231:P237" si="36">(L231/1)/(I231/12)</f>
        <v>0.63048198002605293</v>
      </c>
      <c r="Q231">
        <f t="shared" si="24"/>
        <v>7.5099999999999971</v>
      </c>
      <c r="R231">
        <v>0</v>
      </c>
      <c r="S231">
        <v>24</v>
      </c>
      <c r="T231">
        <v>0.05</v>
      </c>
      <c r="U231">
        <v>7</v>
      </c>
      <c r="V231" s="1">
        <v>40</v>
      </c>
      <c r="W231">
        <v>100</v>
      </c>
      <c r="X231">
        <v>20</v>
      </c>
      <c r="Y231" s="1" t="s">
        <v>9</v>
      </c>
      <c r="Z231" s="1">
        <v>400.1</v>
      </c>
      <c r="AA231" s="1">
        <v>1.833</v>
      </c>
      <c r="AB231" s="1">
        <v>6</v>
      </c>
      <c r="AC231" s="1" t="s">
        <v>60</v>
      </c>
      <c r="AD231">
        <f>0.005*0.27/0.004</f>
        <v>0.33750000000000002</v>
      </c>
    </row>
    <row r="232" spans="1:30">
      <c r="A232" s="1">
        <v>227</v>
      </c>
      <c r="B232" s="2" t="s">
        <v>120</v>
      </c>
      <c r="C232">
        <v>500</v>
      </c>
      <c r="D232">
        <v>2</v>
      </c>
      <c r="E232" s="1" t="s">
        <v>0</v>
      </c>
      <c r="F232">
        <v>0.29899999999999999</v>
      </c>
      <c r="G232">
        <v>1.6E-2</v>
      </c>
      <c r="H232">
        <v>59.48</v>
      </c>
      <c r="I232">
        <v>69.09</v>
      </c>
      <c r="J232">
        <v>18.95</v>
      </c>
      <c r="K232">
        <v>0.82</v>
      </c>
      <c r="L232">
        <v>3.63</v>
      </c>
      <c r="M232" s="1">
        <f t="shared" si="33"/>
        <v>0.20570994355188882</v>
      </c>
      <c r="N232" s="1">
        <f t="shared" si="34"/>
        <v>1.0173066186961106E-2</v>
      </c>
      <c r="O232" s="1">
        <f t="shared" si="35"/>
        <v>0.21588300973884991</v>
      </c>
      <c r="P232" s="1">
        <f t="shared" si="36"/>
        <v>0.63048198002605293</v>
      </c>
      <c r="Q232">
        <f t="shared" si="24"/>
        <v>7.5099999999999971</v>
      </c>
      <c r="R232">
        <v>0</v>
      </c>
      <c r="S232">
        <v>24</v>
      </c>
      <c r="T232">
        <v>0.05</v>
      </c>
      <c r="U232">
        <v>7</v>
      </c>
      <c r="V232" s="1">
        <v>40</v>
      </c>
      <c r="W232">
        <v>100</v>
      </c>
      <c r="X232">
        <v>20</v>
      </c>
      <c r="Y232" s="1" t="s">
        <v>13</v>
      </c>
      <c r="Z232" s="1">
        <v>300.10000000000002</v>
      </c>
      <c r="AA232" s="1">
        <v>1.75</v>
      </c>
      <c r="AB232" s="1">
        <v>4</v>
      </c>
      <c r="AC232" s="1" t="s">
        <v>60</v>
      </c>
      <c r="AD232">
        <f>0.005*0.05/0.004</f>
        <v>6.25E-2</v>
      </c>
    </row>
    <row r="233" spans="1:30">
      <c r="A233" s="1">
        <v>228</v>
      </c>
      <c r="B233" s="2" t="s">
        <v>120</v>
      </c>
      <c r="C233">
        <v>500</v>
      </c>
      <c r="D233">
        <v>2</v>
      </c>
      <c r="E233" s="1" t="s">
        <v>0</v>
      </c>
      <c r="F233">
        <v>0.29899999999999999</v>
      </c>
      <c r="G233">
        <v>1.6E-2</v>
      </c>
      <c r="H233">
        <v>59.48</v>
      </c>
      <c r="I233">
        <v>69.09</v>
      </c>
      <c r="J233">
        <v>18.95</v>
      </c>
      <c r="K233">
        <v>0.82</v>
      </c>
      <c r="L233">
        <v>3.63</v>
      </c>
      <c r="M233" s="1">
        <f t="shared" si="33"/>
        <v>0.20570994355188882</v>
      </c>
      <c r="N233" s="1">
        <f t="shared" si="34"/>
        <v>1.0173066186961106E-2</v>
      </c>
      <c r="O233" s="1">
        <f t="shared" si="35"/>
        <v>0.21588300973884991</v>
      </c>
      <c r="P233" s="1">
        <f t="shared" si="36"/>
        <v>0.63048198002605293</v>
      </c>
      <c r="Q233">
        <f t="shared" si="24"/>
        <v>7.5099999999999971</v>
      </c>
      <c r="R233">
        <v>0</v>
      </c>
      <c r="S233">
        <v>24</v>
      </c>
      <c r="T233">
        <v>0.05</v>
      </c>
      <c r="U233">
        <v>7</v>
      </c>
      <c r="V233" s="1">
        <v>40</v>
      </c>
      <c r="W233">
        <v>100</v>
      </c>
      <c r="X233">
        <v>20</v>
      </c>
      <c r="Y233" s="1" t="s">
        <v>17</v>
      </c>
      <c r="Z233" s="1">
        <v>464.1</v>
      </c>
      <c r="AA233" s="1">
        <v>1.889</v>
      </c>
      <c r="AB233" s="1">
        <v>9</v>
      </c>
      <c r="AC233" s="1" t="s">
        <v>59</v>
      </c>
      <c r="AD233">
        <f>0.005*0.79/0.004</f>
        <v>0.98750000000000004</v>
      </c>
    </row>
    <row r="234" spans="1:30">
      <c r="A234" s="1">
        <v>229</v>
      </c>
      <c r="B234" s="2" t="s">
        <v>120</v>
      </c>
      <c r="C234">
        <v>500</v>
      </c>
      <c r="D234">
        <v>2</v>
      </c>
      <c r="E234" s="1" t="s">
        <v>0</v>
      </c>
      <c r="F234">
        <v>0.29899999999999999</v>
      </c>
      <c r="G234">
        <v>1.6E-2</v>
      </c>
      <c r="H234">
        <v>59.48</v>
      </c>
      <c r="I234">
        <v>69.09</v>
      </c>
      <c r="J234">
        <v>18.95</v>
      </c>
      <c r="K234">
        <v>0.82</v>
      </c>
      <c r="L234">
        <v>3.63</v>
      </c>
      <c r="M234" s="1">
        <f t="shared" si="33"/>
        <v>0.20570994355188882</v>
      </c>
      <c r="N234" s="1">
        <f t="shared" si="34"/>
        <v>1.0173066186961106E-2</v>
      </c>
      <c r="O234" s="1">
        <f t="shared" si="35"/>
        <v>0.21588300973884991</v>
      </c>
      <c r="P234" s="1">
        <f t="shared" si="36"/>
        <v>0.63048198002605293</v>
      </c>
      <c r="Q234">
        <f t="shared" si="24"/>
        <v>7.5099999999999971</v>
      </c>
      <c r="R234">
        <v>0</v>
      </c>
      <c r="S234">
        <v>24</v>
      </c>
      <c r="T234">
        <v>0.05</v>
      </c>
      <c r="U234">
        <v>7</v>
      </c>
      <c r="V234" s="1">
        <v>40</v>
      </c>
      <c r="W234">
        <v>100</v>
      </c>
      <c r="X234">
        <v>20</v>
      </c>
      <c r="Y234" s="1" t="s">
        <v>1</v>
      </c>
      <c r="Z234" s="1">
        <v>414.08</v>
      </c>
      <c r="AA234" s="1">
        <v>1.875</v>
      </c>
      <c r="AB234" s="1">
        <v>8</v>
      </c>
      <c r="AC234" s="1" t="s">
        <v>59</v>
      </c>
      <c r="AD234">
        <f>0.005*0.36/0.004</f>
        <v>0.44999999999999996</v>
      </c>
    </row>
    <row r="235" spans="1:30">
      <c r="A235" s="1">
        <v>230</v>
      </c>
      <c r="B235" s="2" t="s">
        <v>120</v>
      </c>
      <c r="C235">
        <v>500</v>
      </c>
      <c r="D235">
        <v>2</v>
      </c>
      <c r="E235" s="1" t="s">
        <v>0</v>
      </c>
      <c r="F235">
        <v>0.29899999999999999</v>
      </c>
      <c r="G235">
        <v>1.6E-2</v>
      </c>
      <c r="H235">
        <v>59.48</v>
      </c>
      <c r="I235">
        <v>69.09</v>
      </c>
      <c r="J235">
        <v>18.95</v>
      </c>
      <c r="K235">
        <v>0.82</v>
      </c>
      <c r="L235">
        <v>3.63</v>
      </c>
      <c r="M235" s="1">
        <f t="shared" si="33"/>
        <v>0.20570994355188882</v>
      </c>
      <c r="N235" s="1">
        <f t="shared" si="34"/>
        <v>1.0173066186961106E-2</v>
      </c>
      <c r="O235" s="1">
        <f t="shared" si="35"/>
        <v>0.21588300973884991</v>
      </c>
      <c r="P235" s="1">
        <f t="shared" si="36"/>
        <v>0.63048198002605293</v>
      </c>
      <c r="Q235">
        <f t="shared" si="24"/>
        <v>7.5099999999999971</v>
      </c>
      <c r="R235">
        <v>0</v>
      </c>
      <c r="S235">
        <v>24</v>
      </c>
      <c r="T235">
        <v>0.05</v>
      </c>
      <c r="U235">
        <v>7</v>
      </c>
      <c r="V235" s="1">
        <v>40</v>
      </c>
      <c r="W235">
        <v>100</v>
      </c>
      <c r="X235">
        <v>20</v>
      </c>
      <c r="Y235" s="1" t="s">
        <v>49</v>
      </c>
      <c r="Z235" s="1">
        <v>364.06</v>
      </c>
      <c r="AA235" s="1">
        <v>1.857</v>
      </c>
      <c r="AB235" s="1">
        <v>7</v>
      </c>
      <c r="AC235" s="1" t="s">
        <v>59</v>
      </c>
      <c r="AD235">
        <f>0.005*0.11/0.004</f>
        <v>0.13750000000000001</v>
      </c>
    </row>
    <row r="236" spans="1:30">
      <c r="A236" s="1">
        <v>231</v>
      </c>
      <c r="B236" s="2" t="s">
        <v>120</v>
      </c>
      <c r="C236">
        <v>500</v>
      </c>
      <c r="D236">
        <v>2</v>
      </c>
      <c r="E236" s="1" t="s">
        <v>0</v>
      </c>
      <c r="F236">
        <v>0.29899999999999999</v>
      </c>
      <c r="G236">
        <v>1.6E-2</v>
      </c>
      <c r="H236">
        <v>59.48</v>
      </c>
      <c r="I236">
        <v>69.09</v>
      </c>
      <c r="J236">
        <v>18.95</v>
      </c>
      <c r="K236">
        <v>0.82</v>
      </c>
      <c r="L236">
        <v>3.63</v>
      </c>
      <c r="M236" s="1">
        <f t="shared" si="33"/>
        <v>0.20570994355188882</v>
      </c>
      <c r="N236" s="1">
        <f t="shared" si="34"/>
        <v>1.0173066186961106E-2</v>
      </c>
      <c r="O236" s="1">
        <f t="shared" si="35"/>
        <v>0.21588300973884991</v>
      </c>
      <c r="P236" s="1">
        <f t="shared" si="36"/>
        <v>0.63048198002605293</v>
      </c>
      <c r="Q236">
        <f t="shared" si="24"/>
        <v>7.5099999999999971</v>
      </c>
      <c r="R236">
        <v>0</v>
      </c>
      <c r="S236">
        <v>24</v>
      </c>
      <c r="T236">
        <v>0.05</v>
      </c>
      <c r="U236">
        <v>7</v>
      </c>
      <c r="V236" s="1">
        <v>40</v>
      </c>
      <c r="W236">
        <v>100</v>
      </c>
      <c r="X236">
        <v>20</v>
      </c>
      <c r="Y236" s="1" t="s">
        <v>14</v>
      </c>
      <c r="Z236" s="1">
        <v>314.05399999999997</v>
      </c>
      <c r="AA236" s="1">
        <v>1.833</v>
      </c>
      <c r="AB236" s="1">
        <v>6</v>
      </c>
      <c r="AC236" s="1" t="s">
        <v>59</v>
      </c>
      <c r="AD236">
        <f>0.005*0.12/0.004</f>
        <v>0.15</v>
      </c>
    </row>
    <row r="237" spans="1:30">
      <c r="A237" s="1">
        <v>232</v>
      </c>
      <c r="B237" s="2" t="s">
        <v>120</v>
      </c>
      <c r="C237">
        <v>500</v>
      </c>
      <c r="D237">
        <v>2</v>
      </c>
      <c r="E237" s="1" t="s">
        <v>0</v>
      </c>
      <c r="F237">
        <v>0.29899999999999999</v>
      </c>
      <c r="G237">
        <v>1.6E-2</v>
      </c>
      <c r="H237">
        <v>59.48</v>
      </c>
      <c r="I237">
        <v>69.09</v>
      </c>
      <c r="J237">
        <v>18.95</v>
      </c>
      <c r="K237">
        <v>0.82</v>
      </c>
      <c r="L237">
        <v>3.63</v>
      </c>
      <c r="M237" s="1">
        <f t="shared" si="33"/>
        <v>0.20570994355188882</v>
      </c>
      <c r="N237" s="1">
        <f t="shared" si="34"/>
        <v>1.0173066186961106E-2</v>
      </c>
      <c r="O237" s="1">
        <f t="shared" si="35"/>
        <v>0.21588300973884991</v>
      </c>
      <c r="P237" s="1">
        <f t="shared" si="36"/>
        <v>0.63048198002605293</v>
      </c>
      <c r="Q237">
        <f t="shared" si="24"/>
        <v>7.5099999999999971</v>
      </c>
      <c r="R237">
        <v>0</v>
      </c>
      <c r="S237">
        <v>24</v>
      </c>
      <c r="T237">
        <v>0.05</v>
      </c>
      <c r="U237">
        <v>7</v>
      </c>
      <c r="V237" s="1">
        <v>40</v>
      </c>
      <c r="W237">
        <v>100</v>
      </c>
      <c r="X237">
        <v>20</v>
      </c>
      <c r="Y237" s="1" t="s">
        <v>22</v>
      </c>
      <c r="Z237" s="1">
        <v>264.05</v>
      </c>
      <c r="AA237" s="1">
        <v>1.8</v>
      </c>
      <c r="AB237" s="1">
        <v>5</v>
      </c>
      <c r="AC237" s="1" t="s">
        <v>59</v>
      </c>
      <c r="AD237">
        <f>0.005*0.04/0.004</f>
        <v>0.05</v>
      </c>
    </row>
  </sheetData>
  <mergeCells count="5">
    <mergeCell ref="Y4:AC4"/>
    <mergeCell ref="B1:I1"/>
    <mergeCell ref="B4:E4"/>
    <mergeCell ref="F4:R4"/>
    <mergeCell ref="S4:X4"/>
  </mergeCells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Shengquan Zeng</dc:creator>
  <cp:lastModifiedBy>Shengquan Zeng</cp:lastModifiedBy>
  <dcterms:created xsi:type="dcterms:W3CDTF">2025-08-08T18:04:15Z</dcterms:created>
  <dcterms:modified xsi:type="dcterms:W3CDTF">2026-02-02T08:39:11Z</dcterms:modified>
</cp:coreProperties>
</file>